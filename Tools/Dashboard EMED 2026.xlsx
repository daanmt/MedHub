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 Iniciais" sheetId="1" r:id="rId5"/>
    <sheet state="visible" name="Quadro Geral" sheetId="2" r:id="rId6"/>
    <sheet state="visible" name="Pediatria" sheetId="3" r:id="rId7"/>
    <sheet state="visible" name="Preventiva" sheetId="4" r:id="rId8"/>
    <sheet state="visible" name="Cirurgia" sheetId="5" r:id="rId9"/>
    <sheet state="visible" name="Infectologia" sheetId="6" r:id="rId10"/>
    <sheet state="visible" name="Obstetrícia" sheetId="7" r:id="rId11"/>
    <sheet state="visible" name="Ginecologia" sheetId="8" r:id="rId12"/>
    <sheet state="visible" name="Gastro" sheetId="9" r:id="rId13"/>
    <sheet state="visible" name="Endocrino" sheetId="10" r:id="rId14"/>
    <sheet state="visible" name="Cardiologia" sheetId="11" r:id="rId15"/>
    <sheet state="visible" name="Psiquiatria" sheetId="12" r:id="rId16"/>
    <sheet state="visible" name="Neurologia" sheetId="13" r:id="rId17"/>
    <sheet state="visible" name="Nefrologia" sheetId="14" r:id="rId18"/>
    <sheet state="visible" name="Hematologia" sheetId="15" r:id="rId19"/>
    <sheet state="visible" name="Pneumo" sheetId="16" r:id="rId20"/>
    <sheet state="visible" name="Dermato" sheetId="17" r:id="rId21"/>
    <sheet state="visible" name="Reumato" sheetId="18" r:id="rId22"/>
    <sheet state="visible" name="Hepato" sheetId="19" r:id="rId23"/>
    <sheet state="visible" name="Otorrino" sheetId="20" r:id="rId24"/>
    <sheet state="visible" name="Ortopedia" sheetId="21" r:id="rId25"/>
    <sheet state="visible" name="Oftalmo" sheetId="22" r:id="rId26"/>
    <sheet state="visible" name="Simulado Final 1" sheetId="23" r:id="rId27"/>
    <sheet state="visible" name="Simulado Final 2" sheetId="24" r:id="rId28"/>
  </sheets>
  <definedNames/>
  <calcPr/>
</workbook>
</file>

<file path=xl/sharedStrings.xml><?xml version="1.0" encoding="utf-8"?>
<sst xmlns="http://schemas.openxmlformats.org/spreadsheetml/2006/main" count="2196" uniqueCount="360">
  <si>
    <t xml:space="preserve"> </t>
  </si>
  <si>
    <t>NÃO PREENCHER</t>
  </si>
  <si>
    <t>Desempenho por Especialidade (Ciclo Regular)</t>
  </si>
  <si>
    <t>Disciplina</t>
  </si>
  <si>
    <t>Tarefas Feitas</t>
  </si>
  <si>
    <t>% Tarefas Feitas</t>
  </si>
  <si>
    <t>Questões Feitas</t>
  </si>
  <si>
    <t>% Acertos</t>
  </si>
  <si>
    <t>Pediatria</t>
  </si>
  <si>
    <t>Cirurgia</t>
  </si>
  <si>
    <t>Ginecologia</t>
  </si>
  <si>
    <t>Preventiva</t>
  </si>
  <si>
    <t>Obstetrícia</t>
  </si>
  <si>
    <t>Infecto</t>
  </si>
  <si>
    <t>Gastro</t>
  </si>
  <si>
    <t>Cardiologia</t>
  </si>
  <si>
    <t>Nefrologia</t>
  </si>
  <si>
    <t>Endocrino</t>
  </si>
  <si>
    <t>Hepato</t>
  </si>
  <si>
    <t>Neuro</t>
  </si>
  <si>
    <t>Pneumo</t>
  </si>
  <si>
    <t>Otorrino</t>
  </si>
  <si>
    <t>Psiquiatria</t>
  </si>
  <si>
    <t>Reumato</t>
  </si>
  <si>
    <t>Hemato</t>
  </si>
  <si>
    <t>Dermato</t>
  </si>
  <si>
    <t>Ortopedia</t>
  </si>
  <si>
    <t>Oftalmo</t>
  </si>
  <si>
    <t>Total</t>
  </si>
  <si>
    <t>Mês de referência</t>
  </si>
  <si>
    <t>Valor acumulado pago</t>
  </si>
  <si>
    <t>Questões até o último dia</t>
  </si>
  <si>
    <t>Custo / Questão</t>
  </si>
  <si>
    <t>C/Q</t>
  </si>
  <si>
    <t>C/Q &gt; 1,50</t>
  </si>
  <si>
    <t>0,75 &lt; C/Q &lt; 1,25</t>
  </si>
  <si>
    <t>1,25 &lt; C/Q &lt; 1,50</t>
  </si>
  <si>
    <t>1,25 &lt; C/Q &lt; 1,5</t>
  </si>
  <si>
    <t>0,50 &lt; C/Q &lt; 0,75</t>
  </si>
  <si>
    <t>C/Q &lt; R$0,50</t>
  </si>
  <si>
    <t>Sim</t>
  </si>
  <si>
    <t>PREENCHER</t>
  </si>
  <si>
    <t>NAO PREENCHER!</t>
  </si>
  <si>
    <t>Tarefa</t>
  </si>
  <si>
    <t>Assunto</t>
  </si>
  <si>
    <t>Tipo de Tarefa</t>
  </si>
  <si>
    <t>Realizada?</t>
  </si>
  <si>
    <t>Acertos</t>
  </si>
  <si>
    <t>Imunizações</t>
  </si>
  <si>
    <t>Teoria I</t>
  </si>
  <si>
    <t>Teoria II</t>
  </si>
  <si>
    <t>Teoria III</t>
  </si>
  <si>
    <t>Revisão</t>
  </si>
  <si>
    <t>Doenças Exantemáticas</t>
  </si>
  <si>
    <t>Icterícia e Sepse Neonatal</t>
  </si>
  <si>
    <t>Emergências Pediátricas</t>
  </si>
  <si>
    <t>Imunizações
Doenças Exantemáticas
Icterícia e Sepse Neonatal
Emergências Pediátricas</t>
  </si>
  <si>
    <t>Revisão por Questões</t>
  </si>
  <si>
    <t>Cardiopatias Congênitas</t>
  </si>
  <si>
    <t>Cuidados Neonatais</t>
  </si>
  <si>
    <t>Asma</t>
  </si>
  <si>
    <t>Aleitamento Materno</t>
  </si>
  <si>
    <t>Cardiopatias Congênitas
Cuidados Neonatais
Asma
Aleitamento Materno</t>
  </si>
  <si>
    <t>Diarreia</t>
  </si>
  <si>
    <t>Pneumonias na Infância</t>
  </si>
  <si>
    <t>Choque em Pediatria</t>
  </si>
  <si>
    <t>Alergia Alimentar</t>
  </si>
  <si>
    <t>Teoria</t>
  </si>
  <si>
    <t>Diarreia
Pneumonias na Infância
Choque em Pediatria
Alergia Alimentar</t>
  </si>
  <si>
    <t>Reanimação Neonatal</t>
  </si>
  <si>
    <t>Crescimento</t>
  </si>
  <si>
    <t>Constipação Intestinal
Hiperplasia Adrenal Congênita</t>
  </si>
  <si>
    <t>Doença Celíaca em Pediatria
Febre Reumática</t>
  </si>
  <si>
    <t>Tópicos em Pediatria</t>
  </si>
  <si>
    <t>Reanimação Neonatal
Crescimento
Tópicos em Pediatria</t>
  </si>
  <si>
    <t>Diagnóstico Nutricional</t>
  </si>
  <si>
    <t>Vitaminas
Doença do Refluxo Gastroesofágico em Pediatria</t>
  </si>
  <si>
    <t>Desnutrição na Infância</t>
  </si>
  <si>
    <t>Febre Sem Sinais Localizatórios
Hipertensão Arterial na Criança e Adolescente
Coqueluche</t>
  </si>
  <si>
    <t>Obesidade Infantil e na Adolescência</t>
  </si>
  <si>
    <t>Infecção de Trato Urinário em Pediatria</t>
  </si>
  <si>
    <t>Diagnóstico Nutricional
Desnutrição na Infância
Obesidade Infantil e na Adolescência</t>
  </si>
  <si>
    <t>Bronquiolite</t>
  </si>
  <si>
    <t>Anafilaxia e Urticária</t>
  </si>
  <si>
    <t xml:space="preserve">Puberdade </t>
  </si>
  <si>
    <t>Doença de Kawasaki</t>
  </si>
  <si>
    <t xml:space="preserve">Infecção de Trato Urinário em Pediatria
Bronquiolite
Anafilaxia e Urticária
Puberdade </t>
  </si>
  <si>
    <t>Distúrbios Metabólicos do Neonato</t>
  </si>
  <si>
    <t>Síndromes Genéticas e Erros Inatos do Metabolismo</t>
  </si>
  <si>
    <t>Tuberculose</t>
  </si>
  <si>
    <t>Distúrbios Respiratórios do Período Neonatal</t>
  </si>
  <si>
    <t>Doença de Kawasaki
Distúrbios Metabólicos do Neonato
Síndromes Genéticas e Erros Inatos do Metabolismo
Tuberculose</t>
  </si>
  <si>
    <t>Desenvolvimento Neuropsicomotor</t>
  </si>
  <si>
    <t>Infecções Congênitas</t>
  </si>
  <si>
    <t>Fibrose Cística</t>
  </si>
  <si>
    <t>Distúrbios Respiratórios do Período Neonatal
Desenvolvimento Neuropsicomotor
Infecções Congênitas
Fibrose Cística</t>
  </si>
  <si>
    <t>Vigilância em Saúde</t>
  </si>
  <si>
    <t>Sistemas de Informação em Saúde</t>
  </si>
  <si>
    <t>Vigilância em Saúde
Sistemas de Informação em Saúde</t>
  </si>
  <si>
    <t>Medidas de Saúde Coletiva Pt. I
Medidas de Saúde Coletiva Pt. II
Medidas de Saúde Coletiva Pt. III</t>
  </si>
  <si>
    <t>Medidas de Saúde Coletiva Pt. I</t>
  </si>
  <si>
    <t>Revisão I</t>
  </si>
  <si>
    <t>Teoria IV</t>
  </si>
  <si>
    <t>Revisão II</t>
  </si>
  <si>
    <t>Medidas de Saúde Coletiva Pt. II</t>
  </si>
  <si>
    <t>Medidas de Saúde Coletiva Pt. III</t>
  </si>
  <si>
    <t>Processo Saúde-Doença</t>
  </si>
  <si>
    <t>Medicina de Família e Comunidade</t>
  </si>
  <si>
    <t>Saúde do Idoso</t>
  </si>
  <si>
    <t>Processo Saúde-Doença
Medicina de Família e Comunidade
Saúde do Idoso</t>
  </si>
  <si>
    <t>Princípios e Diretrizes do SUS</t>
  </si>
  <si>
    <t>Atenção Primária à Saúde no Brasil</t>
  </si>
  <si>
    <t>Processos Epidêmicos e Epidemiologia das Doenças Infecciosas</t>
  </si>
  <si>
    <t>Ética Médica</t>
  </si>
  <si>
    <t>Financiamento em Saúde</t>
  </si>
  <si>
    <t>Estatística Médica</t>
  </si>
  <si>
    <t>Princípios e Diretrizes do SUS
Atenção Primária à Saúde no Brasil
Ética Médica
Financiamento em Saúde</t>
  </si>
  <si>
    <t>Normas Regulamentadoras</t>
  </si>
  <si>
    <t>Marcos Legais do SUS</t>
  </si>
  <si>
    <t>Teoria V</t>
  </si>
  <si>
    <t>Bases de Saúde do Trabalhador</t>
  </si>
  <si>
    <t>Estatística Médica
Normas Regulamentadoras
Marcos Legais do SUS</t>
  </si>
  <si>
    <t>Políticas de Saúde</t>
  </si>
  <si>
    <t>Processo de Descentralização e Reg. do SUS</t>
  </si>
  <si>
    <t>Bases de Saúde do Trabalhador
Políticas de Saúde
Processo de Descentralização e Reg. do SUS</t>
  </si>
  <si>
    <t>Pesquisa Epidemiológica e Medidas de Associação</t>
  </si>
  <si>
    <t>História do SUS</t>
  </si>
  <si>
    <t xml:space="preserve">Testes Diagnósticos </t>
  </si>
  <si>
    <t xml:space="preserve">Pesquisa Epidemiológica e Medidas de Associação
História do SUS
Testes Diagnósticos </t>
  </si>
  <si>
    <t>Cirurgia Infantil I</t>
  </si>
  <si>
    <t>Cirurgia Infantil II</t>
  </si>
  <si>
    <t>Cirurgia Infantil III</t>
  </si>
  <si>
    <t>Cirurgia Infantil Pt. I
Cirurgia Infantil Pt. II
Cirurgia Infantil Pt. III</t>
  </si>
  <si>
    <t>Trauma - Avaliação Inicial, Vias Aéreas e Trauma Torácico</t>
  </si>
  <si>
    <t>Trauma - Choque</t>
  </si>
  <si>
    <t>Trauma Abdominal e Pélvico</t>
  </si>
  <si>
    <t>Trauma - Avaliação Inicial, Vias Aéreas e Trauma Torácico
Trauma - Choque
Trauma Abdominal e Pélvico</t>
  </si>
  <si>
    <t>Abdome Agudo Inflamatório - Apendicite Aguda</t>
  </si>
  <si>
    <t>Abdome Agudo Inflamatório - Colecistite e Colangite Aguda</t>
  </si>
  <si>
    <t>Abdome Agudo Inflamatório - Diverticulite Aguda</t>
  </si>
  <si>
    <t xml:space="preserve">Teoria </t>
  </si>
  <si>
    <t>Abdome Agudo Inflamatório - Apendicite Aguda
Abdome Agudo Inflamatório - Colecistite e Colangite Aguda
Abdome Agudo Inflamatório - Diverticulite Aguda</t>
  </si>
  <si>
    <t>Cirurgia Vascular</t>
  </si>
  <si>
    <t>Urologia</t>
  </si>
  <si>
    <t>Urgências Abdominais - Abdome Agudo
Abdome Agudo Vascular</t>
  </si>
  <si>
    <t>Hérnias da Parede Abdominal</t>
  </si>
  <si>
    <t>Resposta Endócrino-Metabólica-Inflamatória ao Trauma
Cicatrização de Feridas</t>
  </si>
  <si>
    <t>Princípios da Anestesiologia</t>
  </si>
  <si>
    <t>Cirurgia Vascular
Urologia
Hérnias da Parede Abdominal
Princípios da Anestesiologia</t>
  </si>
  <si>
    <t>Abdome Agudo Obstrutivo</t>
  </si>
  <si>
    <t>Complicações Pós-Operatórias</t>
  </si>
  <si>
    <t>Vesícula e Vias Biliares</t>
  </si>
  <si>
    <t>Cirurgia Plástica</t>
  </si>
  <si>
    <t>Abdome Agudo Obstrutivo
Complicações Pós-Operatórias
Vesícula e Vias Biliares
Cirurgia Plástica</t>
  </si>
  <si>
    <t>Queimaduras e Trauma Elétrico</t>
  </si>
  <si>
    <t>Abdome Agudo Perfurativo</t>
  </si>
  <si>
    <t>Proctologia</t>
  </si>
  <si>
    <t>Nutrição em Cirurgia</t>
  </si>
  <si>
    <t>Temas Gerais em Cirurgia</t>
  </si>
  <si>
    <t>Queimaduras e Trauma Elétrico
Abdome Agudo Perfurativo
Proctologia
Nutrição em cirurgia
Temas Gerais em Cirurgia</t>
  </si>
  <si>
    <t>Arboviroses</t>
  </si>
  <si>
    <t>HIV</t>
  </si>
  <si>
    <t>Meningites e Meningoencefalites</t>
  </si>
  <si>
    <t>Arboviroses
HIV
Tuberculose
Meningites e Meningoencefalites</t>
  </si>
  <si>
    <t>Micoses Invasivas</t>
  </si>
  <si>
    <t>Sepse</t>
  </si>
  <si>
    <t>Neutropenia Febril e Febre de Origem Indeterminada
Piodermites</t>
  </si>
  <si>
    <t>Parasitoses</t>
  </si>
  <si>
    <t>IRAS</t>
  </si>
  <si>
    <t>Pneumonias Bacterianas</t>
  </si>
  <si>
    <t>Sepse
Parasitoses
Infecção Hospitalar (IRAS)
Pneumonias Bacterianas</t>
  </si>
  <si>
    <t>COVID</t>
  </si>
  <si>
    <t>Endocardite Bacteriana - Endocardite Infecciosa</t>
  </si>
  <si>
    <t>Antibióticos</t>
  </si>
  <si>
    <t>Animais Peçonhentos</t>
  </si>
  <si>
    <t>COVID
Endocardite Bacteriana - Endocardite Infecciosa
Antibióticos
Animais Peçonhentos</t>
  </si>
  <si>
    <t>Pré-Natal</t>
  </si>
  <si>
    <t>Distúrbios Hipertensivos da Gestação</t>
  </si>
  <si>
    <t>Sífilis na Gestação e Sífilis Congênita</t>
  </si>
  <si>
    <t>Sangramento da Primeira Metade</t>
  </si>
  <si>
    <t>Pré-Natal
Distúbios Hipertensivos da Gestação
Sífilis na Gestação e Sífilis Congênita
Sangramento da Primeira Metade</t>
  </si>
  <si>
    <t>Assistência ao Parto</t>
  </si>
  <si>
    <t>Vitalidade Fetal</t>
  </si>
  <si>
    <t>Diabetes na Gestação</t>
  </si>
  <si>
    <t>Mecanismo de Parto e Fases Clínicas do Parto</t>
  </si>
  <si>
    <t>Sangramento da Segunda Metade</t>
  </si>
  <si>
    <t>Assistência ao Parto
Vitalidade Fetal
Diabetes na Gestação
Sangramento da Segunda Metade</t>
  </si>
  <si>
    <t>Partograma e Distocia</t>
  </si>
  <si>
    <t>Infecções Congênitas
Parto Vaginal Operatório</t>
  </si>
  <si>
    <t>Gestação Múltipla</t>
  </si>
  <si>
    <t>Infecção Puerperal
Indução do Parto e Pós-Datismo</t>
  </si>
  <si>
    <t>Hemorragia Pós-Parto</t>
  </si>
  <si>
    <t>Bacia Obstétrica, Pelvimetria e Estática Fetal</t>
  </si>
  <si>
    <t>Partograma e Distocia
Gestação Múltipla
Hemorragia Pós-Parto
Bacia Obstétrica, Pelvimetria e Estática Fetal</t>
  </si>
  <si>
    <t>Prematuridade e Trabalho de Parto Prematuro</t>
  </si>
  <si>
    <t>Rotura Prematura de Membranas</t>
  </si>
  <si>
    <t>Restrição de Crescimento Fetal e Óbito Fetal</t>
  </si>
  <si>
    <t>Modificações Fisiológicas da Gestação</t>
  </si>
  <si>
    <t>Prematuridade e Trabalho de Parto Prematuro
Rotura Prematura de Membranas
Restrição de Crescimento Fetal e Óbito Fetal
Modificações Fisiológicas da Gestação</t>
  </si>
  <si>
    <t>Planejamento Familiar</t>
  </si>
  <si>
    <t>Úlceras Genitais</t>
  </si>
  <si>
    <t>Rastreamento do Câncer de Colo Uterino</t>
  </si>
  <si>
    <t>Climatério e Terapia Hormonal</t>
  </si>
  <si>
    <t>Planejamento Familiar
Úlceras Genitais
Rastreamento do Câncer de Colo Uterino
Climatério e Terapia Hormonal</t>
  </si>
  <si>
    <t>Doenças Benignas da Mama</t>
  </si>
  <si>
    <t>Vulvovaginites</t>
  </si>
  <si>
    <t>Endometriose</t>
  </si>
  <si>
    <t>Câncer de Mama</t>
  </si>
  <si>
    <t>Doenças Benignas da Mama
Vulvovaginites
Endometriose
Câncer de Mama</t>
  </si>
  <si>
    <t>Sangramento Uterino Anormal</t>
  </si>
  <si>
    <t>Tumores Anexiais e Câncer de Ovário</t>
  </si>
  <si>
    <t>Prolapsos de Órgãos Pélvicos</t>
  </si>
  <si>
    <t>Câncer de Colo Uterino</t>
  </si>
  <si>
    <t>Sangramento Uterino Anormal
Tumores Anexiais e Câncer de Ovário
Prolapsos de Órgãos Pélvicos
Câncer de Colo Uterino</t>
  </si>
  <si>
    <t>Incontinência Urinária</t>
  </si>
  <si>
    <t>Anatomia e Embriologia do Trato Genital Feminino
Doenças de Vulva e Vagina</t>
  </si>
  <si>
    <t>Câncer do Corpo do Útero</t>
  </si>
  <si>
    <t>Adenomiose
Abdome Agudo em Ginecologia</t>
  </si>
  <si>
    <t>Amenorreia</t>
  </si>
  <si>
    <t>Ciclo menstrual
Dor Pélvica Crônica e Dismenorreia</t>
  </si>
  <si>
    <t>Infertilidade Conjugal</t>
  </si>
  <si>
    <t>Incontinência Urinária
Câncer do Corpo do Útero
Amenorreia
Infertilidade Conjugal</t>
  </si>
  <si>
    <t>Miomatose</t>
  </si>
  <si>
    <t>Rastreamento do Câncer de Mama</t>
  </si>
  <si>
    <t>Síndrome dos Ovários Policísticos</t>
  </si>
  <si>
    <t>Assistência à Vítima de Violência Sexual</t>
  </si>
  <si>
    <t>Miomatose
Rastreamento do Câncer de Mama
Síndrome dos Ovários Policísticos
Assistência à Vítima de Violência Sexual</t>
  </si>
  <si>
    <t>Pólipos e Neoplasias Intestinais</t>
  </si>
  <si>
    <t>Pancreatite Aguda e Crônica</t>
  </si>
  <si>
    <t>Doença do Refluxo Gastroesofágico, Esofagites e Corpo Estranho</t>
  </si>
  <si>
    <t>Pólipos e Neoplasias Intestinais
Pancreatite Aguda e Crônica (Pancreatites)
Doença do Refluxo Gastroesofágico, Esofagites e Corpo Estranho</t>
  </si>
  <si>
    <t>Doença Inflamatória Intestinal</t>
  </si>
  <si>
    <t>Síndromes Disabsortivas
Tumores Neuroendócrinos</t>
  </si>
  <si>
    <t>Neoplasias de Estômago e Esôfago</t>
  </si>
  <si>
    <t>Anatomia do Intestino e Síndrome do Intestino Irritável</t>
  </si>
  <si>
    <t>Doença Inflamatória Intestinal
Neoplasias de Estômago e Esôfago
Anatomia do Intestino e Síndrome do Intestino Irritável</t>
  </si>
  <si>
    <t xml:space="preserve">Disfagia, Alterações Estruturais e Dist. Motilidade </t>
  </si>
  <si>
    <t>Hemorragia Digestiva Alta Varicosa</t>
  </si>
  <si>
    <t>Disfagia, Alterações Estruturais e Dist. Motilidade 
Hemorragia Digestiva Alta Varicosa</t>
  </si>
  <si>
    <t>Tireotoxicose</t>
  </si>
  <si>
    <t>Introdução ao Diabetes Mellitus
Insulinoterapia e Cirurgia Metabólica</t>
  </si>
  <si>
    <t>Diabetes Mellitus - Complicações Agudas</t>
  </si>
  <si>
    <t>Adrenal - Hipocortisolismo</t>
  </si>
  <si>
    <t>Metabolismo Ósseo e Mineral - Princípios e Fisiologia
Hipercalcemia</t>
  </si>
  <si>
    <t>Diabetes Mellitus Tipo 2</t>
  </si>
  <si>
    <t>Perioperatório - Controle Glicêmico e Manejo dos Glicocorticóides</t>
  </si>
  <si>
    <t>Diabetes Mellitus Tipo 2
Perioperatório - Controle Glicêmico e Manejo dos Glicocorticóides</t>
  </si>
  <si>
    <t>Tireotoxicose
Diabetes Mellitus - Complicações Agudas
Diabetes Mellitus Tipo 2</t>
  </si>
  <si>
    <t>Metabolismo Ósseo e Mineral - Vitamina D e Osteomalácia</t>
  </si>
  <si>
    <t>Tireoide - Fisiologia, Semiologia e Avaliação Diagnóstica</t>
  </si>
  <si>
    <t>Hipotireoidismo</t>
  </si>
  <si>
    <t>Diabetes Mellitus - Complicações Crônicas</t>
  </si>
  <si>
    <t>Perioperatório - Controle Glicêmico e Manejo dos Glicocorticóides
Hipotireoidismo
Diabetes Mellitus - Complicações Crônicas</t>
  </si>
  <si>
    <t>Obesidade e Síndrome Metabólica</t>
  </si>
  <si>
    <t>Cirurgia Bariátrica e Metabólica (Tratamento Cir. Obesidade)</t>
  </si>
  <si>
    <t>Osteoporose e Doença Óssea de Paget</t>
  </si>
  <si>
    <t>Obesidade e Síndrome Metabólica
Cirurgia Bariátrica e Metabólica (Tratamento Cir. Obesidade)
Osteoporose e Doença óssea de Paget</t>
  </si>
  <si>
    <t>Hipertensão Arterial Sistêmica Pt. 1</t>
  </si>
  <si>
    <t>Hipertensão Arterial Sistêmica Pt. 2</t>
  </si>
  <si>
    <t>Hipertensão Arterial Sistêmica Pt. 1
Hipertensão Arterial Sistêmica Pt. 2 (Teoria I)</t>
  </si>
  <si>
    <t>Hipertensão Arterial Sistêmica Pt. 3</t>
  </si>
  <si>
    <t>Hipertensão Arterial Sistêmica Pt. 1
Hipertensão Arterial Sistêmica Pt. 2
Hipertensão Arterial Sistêmica Pt. 3</t>
  </si>
  <si>
    <t>Avaliação Perioperatória</t>
  </si>
  <si>
    <t>Hipertensão Arterial Sistêmica Pt. 1
Hipertensão Arterial Sistêmica Pt. 2
Hipertensão Arterial Sistêmica Pt. 3
Avaliação Perioperatória</t>
  </si>
  <si>
    <t>Insuficiência Cardíaca Pt.1</t>
  </si>
  <si>
    <t>Parada Cardiorrespiratória
Dislipidemia e Estratificação de Risco Cardiovascular</t>
  </si>
  <si>
    <t>Fibrilação e Flutter Atrial</t>
  </si>
  <si>
    <t>Insuficiência Cardíaca Pt.2</t>
  </si>
  <si>
    <t>Insuficiência Cardíaca Aguda</t>
  </si>
  <si>
    <t>Insuficiência Cardíaca Pt.1
Insuficiência Cardíaca Pt.2
Insuficiência Cardíaca Aguda</t>
  </si>
  <si>
    <t>Eletrocardiograma</t>
  </si>
  <si>
    <t>Taquiarritmias
Bradiarritmias</t>
  </si>
  <si>
    <t>Valvopatias</t>
  </si>
  <si>
    <t>SCASSST
Síncope</t>
  </si>
  <si>
    <t>Síndromes Aórticas Agudas (Resumo)
Cardiomiopatias (Resumo)
Pericardiopatias</t>
  </si>
  <si>
    <t>IAMCSSST</t>
  </si>
  <si>
    <t>Insuficiência Cardíaca Pt.1
Insuficiência Cardíaca Pt.2
Insuficiência Cardíaca Aguda
Valvopatias
IAMCSSST</t>
  </si>
  <si>
    <t>Intoxicações Exógenas</t>
  </si>
  <si>
    <t>Dependência Química</t>
  </si>
  <si>
    <t>Transtornos Psicóticos</t>
  </si>
  <si>
    <t>Transtorno de Ansiedade</t>
  </si>
  <si>
    <t>Transtornos de Humor</t>
  </si>
  <si>
    <t>Psicopatologia</t>
  </si>
  <si>
    <t>Psiquiatria Social e Reforma Psiquiátrica</t>
  </si>
  <si>
    <t>Psicofarmacologia</t>
  </si>
  <si>
    <t>Psiquiatria Infantil</t>
  </si>
  <si>
    <t>Anatomia, Fisiologia e Semiologia Neurológica</t>
  </si>
  <si>
    <t>Coma e Alterações da Consciência</t>
  </si>
  <si>
    <t>Traumatismo Cranioencefálico</t>
  </si>
  <si>
    <t>Doenças Neuromusculares</t>
  </si>
  <si>
    <t>Acidentes Vasculares Cerebrais</t>
  </si>
  <si>
    <t>Cefaleias</t>
  </si>
  <si>
    <t>Demências</t>
  </si>
  <si>
    <t>Epilepsias</t>
  </si>
  <si>
    <t>Distúrbios do Movimento</t>
  </si>
  <si>
    <t>Distúrbios do Movimento
Demências
Epilepsias</t>
  </si>
  <si>
    <t>Doenças Glomerulares</t>
  </si>
  <si>
    <t>Infecção do Trato Urinário</t>
  </si>
  <si>
    <t>Lesão Renal Aguda</t>
  </si>
  <si>
    <t>Distúrbios Ácido-Base</t>
  </si>
  <si>
    <t>Doenças Glomerulares
Infecção do Trato Urinário
Lesão Renal Aguda
Distúrbios Ácido-Base</t>
  </si>
  <si>
    <t>Distúrbios do Potássio</t>
  </si>
  <si>
    <t>Nefrolitíase</t>
  </si>
  <si>
    <t>Disnatremias</t>
  </si>
  <si>
    <t>Distúrbios do Potássio
Nefrolitíase
Disnatremias</t>
  </si>
  <si>
    <t xml:space="preserve">Doença Renal Crônica I e II </t>
  </si>
  <si>
    <t>Introdução ao Estudo das Anemias</t>
  </si>
  <si>
    <t>Anemias Hemolíticas</t>
  </si>
  <si>
    <t>Leucemias Agudas</t>
  </si>
  <si>
    <t>Hemostasia I</t>
  </si>
  <si>
    <t>Hemostasia II</t>
  </si>
  <si>
    <t>Anemias Microcíticas</t>
  </si>
  <si>
    <t>Anemias Macrocíticas
Leucemias Crônicas, Linfomas, Mielodisplasias e Mieloproliferações</t>
  </si>
  <si>
    <t>Introdução a Pneumologia</t>
  </si>
  <si>
    <t>Pneumologia Intensiva</t>
  </si>
  <si>
    <t>Neoplasias Pulmonares</t>
  </si>
  <si>
    <t>Tromboembolismo Pulmonar</t>
  </si>
  <si>
    <t>Doença Pulmonar Obstrutiva Crônica</t>
  </si>
  <si>
    <t>Derrame Pleural</t>
  </si>
  <si>
    <t>Oncologia Cutânea (Câncer de Pele)</t>
  </si>
  <si>
    <t>Hanseníase</t>
  </si>
  <si>
    <t>Síndromes Verrucosas</t>
  </si>
  <si>
    <t>Dermatoses Infecciosas
Dermatoses Eczematosas</t>
  </si>
  <si>
    <t>Doenças Inflamatória do Tecido Conjuntivo I</t>
  </si>
  <si>
    <t>Doenças Inflamatória do Tecido Conjuntivo II</t>
  </si>
  <si>
    <t>Artrite Reumatoide</t>
  </si>
  <si>
    <t>Vasculites</t>
  </si>
  <si>
    <t>Artrites Microcristalinas</t>
  </si>
  <si>
    <t>Síndromes Dolorosas Crônicas</t>
  </si>
  <si>
    <t>Introdução à Hepatologia e Icterícia Não Obstrutiva</t>
  </si>
  <si>
    <t>Hepatites Virais</t>
  </si>
  <si>
    <t>Complicações da Cirrose Hepática</t>
  </si>
  <si>
    <t>Cirrose Hepática</t>
  </si>
  <si>
    <t>Transplante Hepático e Hepatite Fulminante</t>
  </si>
  <si>
    <t>Tumores Hepáticos</t>
  </si>
  <si>
    <t>Neoplasias beningas e malignas de cabeça e pescoço, doenças congênitas cervicofaciais e traqueostomia</t>
  </si>
  <si>
    <t>Infecções das Vias Aéreas Superiores Pt. 1</t>
  </si>
  <si>
    <t>Infecções das Vias Aéreas Superiores Pt. 2</t>
  </si>
  <si>
    <t xml:space="preserve"> Manejo dos Nódulos de Tireoide, Câncer de Tireoide e Tireoidectomia</t>
  </si>
  <si>
    <t>Infecções das Vias Aéreas Superiores Pt. 3</t>
  </si>
  <si>
    <t>Quadril Pediátrico</t>
  </si>
  <si>
    <t xml:space="preserve">Politrauma Ortopédico </t>
  </si>
  <si>
    <t>Maus Tratos</t>
  </si>
  <si>
    <t>Conceitos Básicos do Trauma Ortopédico</t>
  </si>
  <si>
    <t>Miscelânea Ortopédica</t>
  </si>
  <si>
    <t>Complicações do Trauma Ortopédico</t>
  </si>
  <si>
    <t>Oncologia Ortopédica</t>
  </si>
  <si>
    <t>Doenças da Coluna Vertebral</t>
  </si>
  <si>
    <t>Síndrome do Olho Vermelho</t>
  </si>
  <si>
    <t>Doenças do Polo Posterior</t>
  </si>
  <si>
    <t>Glaucoma</t>
  </si>
  <si>
    <t>Tarefa 1</t>
  </si>
  <si>
    <t>Tarefa 2</t>
  </si>
  <si>
    <t>Tarefa 3</t>
  </si>
  <si>
    <t>Tarefa 4</t>
  </si>
  <si>
    <t>Tarefa 5</t>
  </si>
  <si>
    <t>Tarefa 6</t>
  </si>
  <si>
    <t>Tarefa 7</t>
  </si>
  <si>
    <t>Desempenho Simulado Final 1</t>
  </si>
  <si>
    <t>Desempenho Simulado Final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</si>
</sst>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yyyy"/>
    <numFmt numFmtId="165" formatCode="[$R$ -416]#,##0.00"/>
  </numFmts>
  <fonts count="17">
    <font>
      <sz val="11.0"/>
      <color theme="1"/>
      <name val="Calibri"/>
      <scheme val="minor"/>
    </font>
    <font>
      <color theme="1"/>
      <name val="Calibri"/>
    </font>
    <font>
      <sz val="12.0"/>
      <color theme="1"/>
      <name val="Libre Baskerville"/>
    </font>
    <font>
      <sz val="11.0"/>
      <color theme="1"/>
      <name val="Calibri"/>
    </font>
    <font>
      <b/>
      <sz val="12.0"/>
      <color theme="0"/>
      <name val="Circularxx tt"/>
    </font>
    <font/>
    <font>
      <sz val="12.0"/>
      <color theme="1"/>
      <name val="Circularxx tt"/>
    </font>
    <font>
      <b/>
      <sz val="12.0"/>
      <color theme="1"/>
      <name val="Circularxx tt"/>
    </font>
    <font>
      <sz val="12.0"/>
      <color theme="1"/>
      <name val="Arial"/>
    </font>
    <font>
      <sz val="11.0"/>
      <color rgb="FFC9B683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theme="0"/>
      <name val="Libre Baskerville"/>
    </font>
    <font>
      <sz val="11.0"/>
      <color theme="0"/>
      <name val="Calibri"/>
    </font>
    <font>
      <sz val="11.0"/>
      <color theme="1"/>
      <name val="Circularxx tt"/>
    </font>
    <font>
      <sz val="12.0"/>
      <color theme="0"/>
      <name val="Circularxx tt"/>
    </font>
    <font>
      <b/>
      <sz val="12.0"/>
      <color rgb="FFC9B683"/>
      <name val="Circularxx tt"/>
    </font>
  </fonts>
  <fills count="16">
    <fill>
      <patternFill patternType="none"/>
    </fill>
    <fill>
      <patternFill patternType="lightGray"/>
    </fill>
    <fill>
      <patternFill patternType="solid">
        <fgColor rgb="FF132549"/>
        <bgColor rgb="FF132549"/>
      </patternFill>
    </fill>
    <fill>
      <patternFill patternType="solid">
        <fgColor rgb="FFC9B683"/>
        <bgColor rgb="FFC9B683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theme="6"/>
        <bgColor theme="6"/>
      </patternFill>
    </fill>
    <fill>
      <patternFill patternType="solid">
        <fgColor rgb="FFF2F2F2"/>
        <bgColor rgb="FFF2F2F2"/>
      </patternFill>
    </fill>
  </fills>
  <borders count="20">
    <border/>
    <border>
      <left/>
      <top/>
      <bottom style="thin">
        <color theme="1"/>
      </bottom>
    </border>
    <border>
      <top/>
      <bottom style="thin">
        <color theme="1"/>
      </bottom>
    </border>
    <border>
      <left style="thin">
        <color theme="1"/>
      </left>
      <top style="thin">
        <color theme="1"/>
      </top>
      <bottom style="thin">
        <color rgb="FF00B0F0"/>
      </bottom>
    </border>
    <border>
      <top style="thin">
        <color theme="1"/>
      </top>
      <bottom style="thin">
        <color rgb="FF00B0F0"/>
      </bottom>
    </border>
    <border>
      <left style="thin">
        <color theme="1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3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3" numFmtId="0" xfId="0" applyBorder="1" applyFont="1"/>
    <xf borderId="0" fillId="0" fontId="7" numFmtId="0" xfId="0" applyAlignment="1" applyFont="1">
      <alignment horizontal="center" vertical="center"/>
    </xf>
    <xf borderId="6" fillId="4" fontId="6" numFmtId="0" xfId="0" applyAlignment="1" applyBorder="1" applyFill="1" applyFont="1">
      <alignment horizontal="center"/>
    </xf>
    <xf borderId="7" fillId="4" fontId="6" numFmtId="0" xfId="0" applyAlignment="1" applyBorder="1" applyFont="1">
      <alignment horizontal="center"/>
    </xf>
    <xf borderId="7" fillId="4" fontId="6" numFmtId="10" xfId="0" applyAlignment="1" applyBorder="1" applyFont="1" applyNumberFormat="1">
      <alignment horizontal="center"/>
    </xf>
    <xf borderId="8" fillId="0" fontId="6" numFmtId="0" xfId="0" applyAlignment="1" applyBorder="1" applyFont="1">
      <alignment horizontal="center" vertical="center"/>
    </xf>
    <xf borderId="9" fillId="0" fontId="6" numFmtId="10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8" fillId="0" fontId="8" numFmtId="10" xfId="0" applyAlignment="1" applyBorder="1" applyFont="1" applyNumberFormat="1">
      <alignment horizontal="center"/>
    </xf>
    <xf borderId="8" fillId="0" fontId="8" numFmtId="0" xfId="0" applyAlignment="1" applyBorder="1" applyFont="1">
      <alignment horizontal="center" vertical="center"/>
    </xf>
    <xf borderId="9" fillId="0" fontId="8" numFmtId="10" xfId="0" applyAlignment="1" applyBorder="1" applyFont="1" applyNumberFormat="1">
      <alignment horizontal="center" vertical="center"/>
    </xf>
    <xf borderId="7" fillId="4" fontId="8" numFmtId="10" xfId="0" applyAlignment="1" applyBorder="1" applyFont="1" applyNumberFormat="1">
      <alignment horizontal="center"/>
    </xf>
    <xf borderId="8" fillId="0" fontId="6" numFmtId="10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5" fontId="9" numFmtId="10" xfId="0" applyAlignment="1" applyBorder="1" applyFill="1" applyFont="1" applyNumberForma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shrinkToFit="0" vertical="center" wrapText="0"/>
    </xf>
    <xf borderId="13" fillId="6" fontId="11" numFmtId="164" xfId="0" applyAlignment="1" applyBorder="1" applyFill="1" applyFont="1" applyNumberFormat="1">
      <alignment horizontal="center" readingOrder="0" shrinkToFit="0" vertical="center" wrapText="0"/>
    </xf>
    <xf borderId="13" fillId="6" fontId="11" numFmtId="165" xfId="0" applyAlignment="1" applyBorder="1" applyFont="1" applyNumberFormat="1">
      <alignment horizontal="center" readingOrder="0" shrinkToFit="0" vertical="center" wrapText="0"/>
    </xf>
    <xf borderId="13" fillId="6" fontId="11" numFmtId="0" xfId="0" applyAlignment="1" applyBorder="1" applyFont="1">
      <alignment horizontal="center" readingOrder="0" shrinkToFit="0" vertical="center" wrapText="0"/>
    </xf>
    <xf borderId="13" fillId="6" fontId="11" numFmtId="165" xfId="0" applyAlignment="1" applyBorder="1" applyFont="1" applyNumberFormat="1">
      <alignment horizontal="center" shrinkToFit="0" vertical="center" wrapText="0"/>
    </xf>
    <xf borderId="13" fillId="7" fontId="11" numFmtId="0" xfId="0" applyAlignment="1" applyBorder="1" applyFill="1" applyFont="1">
      <alignment horizontal="center" readingOrder="0" shrinkToFit="0" vertical="center" wrapText="0"/>
    </xf>
    <xf borderId="13" fillId="8" fontId="11" numFmtId="0" xfId="0" applyAlignment="1" applyBorder="1" applyFill="1" applyFont="1">
      <alignment horizontal="center" readingOrder="0" shrinkToFit="0" vertical="center" wrapText="0"/>
    </xf>
    <xf borderId="13" fillId="7" fontId="11" numFmtId="0" xfId="0" applyAlignment="1" applyBorder="1" applyFont="1">
      <alignment horizontal="center" readingOrder="0"/>
    </xf>
    <xf borderId="13" fillId="9" fontId="11" numFmtId="0" xfId="0" applyAlignment="1" applyBorder="1" applyFill="1" applyFont="1">
      <alignment horizontal="center" readingOrder="0"/>
    </xf>
    <xf borderId="13" fillId="6" fontId="3" numFmtId="164" xfId="0" applyAlignment="1" applyBorder="1" applyFont="1" applyNumberFormat="1">
      <alignment horizontal="center" readingOrder="0" shrinkToFit="0" vertical="center" wrapText="0"/>
    </xf>
    <xf borderId="13" fillId="9" fontId="11" numFmtId="0" xfId="0" applyAlignment="1" applyBorder="1" applyFont="1">
      <alignment horizontal="center" readingOrder="0" shrinkToFit="0" vertical="center" wrapText="0"/>
    </xf>
    <xf borderId="13" fillId="8" fontId="11" numFmtId="0" xfId="0" applyAlignment="1" applyBorder="1" applyFont="1">
      <alignment horizontal="center" readingOrder="0"/>
    </xf>
    <xf borderId="13" fillId="10" fontId="11" numFmtId="0" xfId="0" applyAlignment="1" applyBorder="1" applyFill="1" applyFont="1">
      <alignment horizontal="center" readingOrder="0"/>
    </xf>
    <xf borderId="13" fillId="11" fontId="11" numFmtId="0" xfId="0" applyAlignment="1" applyBorder="1" applyFill="1" applyFont="1">
      <alignment horizontal="center" readingOrder="0"/>
    </xf>
    <xf borderId="13" fillId="0" fontId="11" numFmtId="0" xfId="0" applyAlignment="1" applyBorder="1" applyFont="1">
      <alignment shrinkToFit="0" vertical="center" wrapText="0"/>
    </xf>
    <xf borderId="14" fillId="12" fontId="3" numFmtId="0" xfId="0" applyBorder="1" applyFill="1" applyFont="1"/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14" fillId="3" fontId="4" numFmtId="0" xfId="0" applyAlignment="1" applyBorder="1" applyFont="1">
      <alignment horizontal="center" vertical="center"/>
    </xf>
    <xf borderId="14" fillId="13" fontId="4" numFmtId="0" xfId="0" applyBorder="1" applyFill="1" applyFont="1"/>
    <xf borderId="14" fillId="2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4" numFmtId="0" xfId="0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14" fillId="14" fontId="13" numFmtId="0" xfId="0" applyBorder="1" applyFill="1" applyFont="1"/>
    <xf borderId="0" fillId="0" fontId="6" numFmtId="0" xfId="0" applyAlignment="1" applyFont="1">
      <alignment horizontal="center" vertical="center"/>
    </xf>
    <xf borderId="14" fillId="2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14" fillId="2" fontId="15" numFmtId="0" xfId="0" applyAlignment="1" applyBorder="1" applyFont="1">
      <alignment horizontal="center" vertical="center"/>
    </xf>
    <xf borderId="15" fillId="15" fontId="16" numFmtId="0" xfId="0" applyAlignment="1" applyBorder="1" applyFill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4" fillId="2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8" fillId="13" fontId="4" numFmtId="0" xfId="0" applyAlignment="1" applyBorder="1" applyFont="1">
      <alignment horizontal="center"/>
    </xf>
    <xf borderId="19" fillId="0" fontId="5" numFmtId="0" xfId="0" applyBorder="1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38">
    <tableStyle count="3" pivot="0" name="Quadro Geral-style">
      <tableStyleElement dxfId="1" type="headerRow"/>
      <tableStyleElement dxfId="2" type="firstRowStripe"/>
      <tableStyleElement dxfId="3" type="secondRowStripe"/>
    </tableStyle>
    <tableStyle count="4" pivot="0" name="Quadro Geral-style 2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3" pivot="0" name="Pediatria-style">
      <tableStyleElement dxfId="8" type="headerRow"/>
      <tableStyleElement dxfId="9" type="firstRowStripe"/>
      <tableStyleElement dxfId="3" type="secondRowStripe"/>
    </tableStyle>
    <tableStyle count="3" pivot="0" name="Preventiva-style">
      <tableStyleElement dxfId="8" type="headerRow"/>
      <tableStyleElement dxfId="9" type="firstRowStripe"/>
      <tableStyleElement dxfId="3" type="secondRowStripe"/>
    </tableStyle>
    <tableStyle count="3" pivot="0" name="Cirurgia-style">
      <tableStyleElement dxfId="8" type="headerRow"/>
      <tableStyleElement dxfId="9" type="firstRowStripe"/>
      <tableStyleElement dxfId="3" type="secondRowStripe"/>
    </tableStyle>
    <tableStyle count="3" pivot="0" name="Infectologia-style">
      <tableStyleElement dxfId="8" type="headerRow"/>
      <tableStyleElement dxfId="9" type="firstRowStripe"/>
      <tableStyleElement dxfId="3" type="secondRowStripe"/>
    </tableStyle>
    <tableStyle count="3" pivot="0" name="Obstetrícia-style">
      <tableStyleElement dxfId="8" type="headerRow"/>
      <tableStyleElement dxfId="9" type="firstRowStripe"/>
      <tableStyleElement dxfId="3" type="secondRowStripe"/>
    </tableStyle>
    <tableStyle count="3" pivot="0" name="Ginecologia-style">
      <tableStyleElement dxfId="8" type="headerRow"/>
      <tableStyleElement dxfId="9" type="firstRowStripe"/>
      <tableStyleElement dxfId="3" type="secondRowStripe"/>
    </tableStyle>
    <tableStyle count="3" pivot="0" name="Gastro-style">
      <tableStyleElement dxfId="8" type="headerRow"/>
      <tableStyleElement dxfId="9" type="firstRowStripe"/>
      <tableStyleElement dxfId="3" type="secondRowStripe"/>
    </tableStyle>
    <tableStyle count="3" pivot="0" name="Endocrino-style">
      <tableStyleElement dxfId="8" type="headerRow"/>
      <tableStyleElement dxfId="9" type="firstRowStripe"/>
      <tableStyleElement dxfId="3" type="secondRowStripe"/>
    </tableStyle>
    <tableStyle count="3" pivot="0" name="Cardiologia-style">
      <tableStyleElement dxfId="8" type="headerRow"/>
      <tableStyleElement dxfId="9" type="firstRowStripe"/>
      <tableStyleElement dxfId="3" type="secondRowStripe"/>
    </tableStyle>
    <tableStyle count="3" pivot="0" name="Psiquiatria-style">
      <tableStyleElement dxfId="8" type="headerRow"/>
      <tableStyleElement dxfId="9" type="firstRowStripe"/>
      <tableStyleElement dxfId="3" type="secondRowStripe"/>
    </tableStyle>
    <tableStyle count="3" pivot="0" name="Neurologia-style">
      <tableStyleElement dxfId="8" type="headerRow"/>
      <tableStyleElement dxfId="9" type="firstRowStripe"/>
      <tableStyleElement dxfId="3" type="secondRowStripe"/>
    </tableStyle>
    <tableStyle count="3" pivot="0" name="Nefrologia-style">
      <tableStyleElement dxfId="8" type="headerRow"/>
      <tableStyleElement dxfId="9" type="firstRowStripe"/>
      <tableStyleElement dxfId="3" type="secondRowStripe"/>
    </tableStyle>
    <tableStyle count="3" pivot="0" name="Hematologia-style">
      <tableStyleElement dxfId="8" type="headerRow"/>
      <tableStyleElement dxfId="9" type="firstRowStripe"/>
      <tableStyleElement dxfId="3" type="secondRowStripe"/>
    </tableStyle>
    <tableStyle count="3" pivot="0" name="Pneumo-style">
      <tableStyleElement dxfId="8" type="headerRow"/>
      <tableStyleElement dxfId="9" type="firstRowStripe"/>
      <tableStyleElement dxfId="3" type="secondRowStripe"/>
    </tableStyle>
    <tableStyle count="3" pivot="0" name="Dermato-style">
      <tableStyleElement dxfId="8" type="headerRow"/>
      <tableStyleElement dxfId="9" type="firstRowStripe"/>
      <tableStyleElement dxfId="3" type="secondRowStripe"/>
    </tableStyle>
    <tableStyle count="3" pivot="0" name="Reumato-style">
      <tableStyleElement dxfId="8" type="headerRow"/>
      <tableStyleElement dxfId="9" type="firstRowStripe"/>
      <tableStyleElement dxfId="3" type="secondRowStripe"/>
    </tableStyle>
    <tableStyle count="3" pivot="0" name="Hepato-style">
      <tableStyleElement dxfId="8" type="headerRow"/>
      <tableStyleElement dxfId="9" type="firstRowStripe"/>
      <tableStyleElement dxfId="3" type="secondRowStripe"/>
    </tableStyle>
    <tableStyle count="3" pivot="0" name="Otorrino-style">
      <tableStyleElement dxfId="8" type="headerRow"/>
      <tableStyleElement dxfId="9" type="firstRowStripe"/>
      <tableStyleElement dxfId="3" type="secondRowStripe"/>
    </tableStyle>
    <tableStyle count="3" pivot="0" name="Ortopedia-style">
      <tableStyleElement dxfId="8" type="headerRow"/>
      <tableStyleElement dxfId="9" type="firstRowStripe"/>
      <tableStyleElement dxfId="3" type="secondRowStripe"/>
    </tableStyle>
    <tableStyle count="3" pivot="0" name="Oftalmo-style">
      <tableStyleElement dxfId="8" type="headerRow"/>
      <tableStyleElement dxfId="9" type="firstRowStripe"/>
      <tableStyleElement dxfId="3" type="secondRowStripe"/>
    </tableStyle>
    <tableStyle count="3" pivot="0" name="Simulado Final 1-style">
      <tableStyleElement dxfId="11" type="headerRow"/>
      <tableStyleElement dxfId="2" type="firstRowStripe"/>
      <tableStyleElement dxfId="3" type="secondRowStripe"/>
    </tableStyle>
    <tableStyle count="3" pivot="0" name="Simulado Final 1-style 2">
      <tableStyleElement dxfId="11" type="headerRow"/>
      <tableStyleElement dxfId="2" type="firstRowStripe"/>
      <tableStyleElement dxfId="3" type="secondRowStripe"/>
    </tableStyle>
    <tableStyle count="3" pivot="0" name="Simulado Final 1-style 3">
      <tableStyleElement dxfId="11" type="headerRow"/>
      <tableStyleElement dxfId="2" type="firstRowStripe"/>
      <tableStyleElement dxfId="3" type="secondRowStripe"/>
    </tableStyle>
    <tableStyle count="3" pivot="0" name="Simulado Final 1-style 4">
      <tableStyleElement dxfId="11" type="headerRow"/>
      <tableStyleElement dxfId="2" type="firstRowStripe"/>
      <tableStyleElement dxfId="3" type="secondRowStripe"/>
    </tableStyle>
    <tableStyle count="3" pivot="0" name="Simulado Final 1-style 5">
      <tableStyleElement dxfId="11" type="headerRow"/>
      <tableStyleElement dxfId="2" type="firstRowStripe"/>
      <tableStyleElement dxfId="3" type="secondRowStripe"/>
    </tableStyle>
    <tableStyle count="3" pivot="0" name="Simulado Final 1-style 6">
      <tableStyleElement dxfId="11" type="headerRow"/>
      <tableStyleElement dxfId="2" type="firstRowStripe"/>
      <tableStyleElement dxfId="3" type="secondRowStripe"/>
    </tableStyle>
    <tableStyle count="3" pivot="0" name="Simulado Final 1-style 7">
      <tableStyleElement dxfId="11" type="headerRow"/>
      <tableStyleElement dxfId="2" type="firstRowStripe"/>
      <tableStyleElement dxfId="3" type="secondRowStripe"/>
    </tableStyle>
    <tableStyle count="3" pivot="0" name="Simulado Final 1-style 8">
      <tableStyleElement dxfId="11" type="headerRow"/>
      <tableStyleElement dxfId="2" type="firstRowStripe"/>
      <tableStyleElement dxfId="3" type="secondRowStripe"/>
    </tableStyle>
    <tableStyle count="3" pivot="0" name="Simulado Final 2-style">
      <tableStyleElement dxfId="11" type="headerRow"/>
      <tableStyleElement dxfId="2" type="firstRowStripe"/>
      <tableStyleElement dxfId="3" type="secondRowStripe"/>
    </tableStyle>
    <tableStyle count="3" pivot="0" name="Simulado Final 2-style 2">
      <tableStyleElement dxfId="11" type="headerRow"/>
      <tableStyleElement dxfId="2" type="firstRowStripe"/>
      <tableStyleElement dxfId="3" type="secondRowStripe"/>
    </tableStyle>
    <tableStyle count="3" pivot="0" name="Simulado Final 2-style 3">
      <tableStyleElement dxfId="11" type="headerRow"/>
      <tableStyleElement dxfId="2" type="firstRowStripe"/>
      <tableStyleElement dxfId="3" type="secondRowStripe"/>
    </tableStyle>
    <tableStyle count="3" pivot="0" name="Simulado Final 2-style 4">
      <tableStyleElement dxfId="11" type="headerRow"/>
      <tableStyleElement dxfId="2" type="firstRowStripe"/>
      <tableStyleElement dxfId="3" type="secondRowStripe"/>
    </tableStyle>
    <tableStyle count="3" pivot="0" name="Simulado Final 2-style 5">
      <tableStyleElement dxfId="11" type="headerRow"/>
      <tableStyleElement dxfId="2" type="firstRowStripe"/>
      <tableStyleElement dxfId="3" type="secondRowStripe"/>
    </tableStyle>
    <tableStyle count="3" pivot="0" name="Simulado Final 2-style 6">
      <tableStyleElement dxfId="11" type="headerRow"/>
      <tableStyleElement dxfId="2" type="firstRowStripe"/>
      <tableStyleElement dxfId="3" type="secondRowStripe"/>
    </tableStyle>
    <tableStyle count="3" pivot="0" name="Simulado Final 2-style 7">
      <tableStyleElement dxfId="11" type="headerRow"/>
      <tableStyleElement dxfId="2" type="firstRowStripe"/>
      <tableStyleElement dxfId="3" type="secondRowStripe"/>
    </tableStyle>
    <tableStyle count="3" pivot="0" name="Simulado Final 2-style 8">
      <tableStyleElement dxfId="1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Desempenho por Especialidade (Ciclo Regular)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Tarefas Feitas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'Quadro Geral'!$B$5:$B$25</c:f>
            </c:strRef>
          </c:cat>
          <c:val>
            <c:numRef>
              <c:f>'Quadro Geral'!$C$5:$C$25</c:f>
              <c:numCache/>
            </c:numRef>
          </c:val>
        </c:ser>
        <c:axId val="2020730963"/>
        <c:axId val="2100630040"/>
      </c:barChart>
      <c:lineChart>
        <c:ser>
          <c:idx val="1"/>
          <c:order val="1"/>
          <c:tx>
            <c:v>% Tarefas Feitas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'Quadro Geral'!$B$5:$B$25</c:f>
            </c:strRef>
          </c:cat>
          <c:val>
            <c:numRef>
              <c:f>'Quadro Geral'!$D$5:$D$25</c:f>
              <c:numCache/>
            </c:numRef>
          </c:val>
          <c:smooth val="0"/>
        </c:ser>
        <c:ser>
          <c:idx val="2"/>
          <c:order val="2"/>
          <c:tx>
            <c:v>Questões Feitas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'Quadro Geral'!$B$5:$B$25</c:f>
            </c:strRef>
          </c:cat>
          <c:val>
            <c:numRef>
              <c:f>'Quadro Geral'!$E$5:$E$25</c:f>
              <c:numCache/>
            </c:numRef>
          </c:val>
          <c:smooth val="0"/>
        </c:ser>
        <c:axId val="2020730963"/>
        <c:axId val="2100630040"/>
      </c:lineChart>
      <c:catAx>
        <c:axId val="2020730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0630040"/>
      </c:catAx>
      <c:valAx>
        <c:axId val="2100630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07309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Libre Baskerville"/>
              </a:defRPr>
            </a:pPr>
            <a:r>
              <a:rPr b="0" i="0" sz="1200">
                <a:solidFill>
                  <a:srgbClr val="757575"/>
                </a:solidFill>
                <a:latin typeface="Libre Baskerville"/>
              </a:rPr>
              <a:t>Desempenho - Simulado Final 1</a:t>
            </a:r>
          </a:p>
        </c:rich>
      </c:tx>
      <c:overlay val="0"/>
    </c:title>
    <c:plotArea>
      <c:layout>
        <c:manualLayout>
          <c:xMode val="edge"/>
          <c:yMode val="edge"/>
          <c:x val="0.013750882014808917"/>
          <c:y val="0.015868599668591842"/>
          <c:w val="0.9758780274001968"/>
          <c:h val="0.7597302235685616"/>
        </c:manualLayout>
      </c:layout>
      <c:barChart>
        <c:barDir val="col"/>
        <c:ser>
          <c:idx val="0"/>
          <c:order val="0"/>
          <c:tx>
            <c:v>Questões Feitas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1'!$B$29:$B$49</c:f>
            </c:strRef>
          </c:cat>
          <c:val>
            <c:numRef>
              <c:f>'Simulado Final 1'!$C$29:$C$49</c:f>
              <c:numCache/>
            </c:numRef>
          </c:val>
        </c:ser>
        <c:ser>
          <c:idx val="1"/>
          <c:order val="1"/>
          <c:tx>
            <c:v>Acertos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1'!$B$29:$B$49</c:f>
            </c:strRef>
          </c:cat>
          <c:val>
            <c:numRef>
              <c:f>'Simulado Final 1'!$D$29:$D$49</c:f>
              <c:numCache/>
            </c:numRef>
          </c:val>
        </c:ser>
        <c:ser>
          <c:idx val="2"/>
          <c:order val="2"/>
          <c:cat>
            <c:strRef>
              <c:f>'Simulado Final 1'!$B$29:$B$49</c:f>
            </c:strRef>
          </c:cat>
          <c:val>
            <c:numRef>
              <c:f>'Simulado Final 1'!$E$28:$E$49</c:f>
              <c:numCache/>
            </c:numRef>
          </c:val>
        </c:ser>
        <c:axId val="742321468"/>
        <c:axId val="1344586004"/>
      </c:barChart>
      <c:catAx>
        <c:axId val="742321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1344586004"/>
      </c:catAx>
      <c:valAx>
        <c:axId val="1344586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74232146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Libre Baskerville"/>
              </a:defRPr>
            </a:pPr>
            <a:r>
              <a:rPr b="0" i="0" sz="1200">
                <a:solidFill>
                  <a:srgbClr val="757575"/>
                </a:solidFill>
                <a:latin typeface="Libre Baskerville"/>
              </a:rPr>
              <a:t>Desempenho - Simulado Final 2</a:t>
            </a:r>
          </a:p>
        </c:rich>
      </c:tx>
      <c:overlay val="0"/>
    </c:title>
    <c:plotArea>
      <c:layout>
        <c:manualLayout>
          <c:xMode val="edge"/>
          <c:yMode val="edge"/>
          <c:x val="0.013750882014808917"/>
          <c:y val="0.015868599668591842"/>
          <c:w val="0.9758780274001968"/>
          <c:h val="0.7597302235685616"/>
        </c:manualLayout>
      </c:layout>
      <c:barChart>
        <c:barDir val="col"/>
        <c:ser>
          <c:idx val="0"/>
          <c:order val="0"/>
          <c:tx>
            <c:v>Questões Feitas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2'!$B$29:$B$49</c:f>
            </c:strRef>
          </c:cat>
          <c:val>
            <c:numRef>
              <c:f>'Simulado Final 2'!$C$29:$C$49</c:f>
              <c:numCache/>
            </c:numRef>
          </c:val>
        </c:ser>
        <c:ser>
          <c:idx val="1"/>
          <c:order val="1"/>
          <c:tx>
            <c:v>Acertos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2'!$B$29:$B$49</c:f>
            </c:strRef>
          </c:cat>
          <c:val>
            <c:numRef>
              <c:f>'Simulado Final 2'!$D$29:$D$49</c:f>
              <c:numCache/>
            </c:numRef>
          </c:val>
        </c:ser>
        <c:ser>
          <c:idx val="2"/>
          <c:order val="2"/>
          <c:cat>
            <c:strRef>
              <c:f>'Simulado Final 2'!$B$29:$B$49</c:f>
            </c:strRef>
          </c:cat>
          <c:val>
            <c:numRef>
              <c:f>'Simulado Final 2'!$E$28:$E$49</c:f>
              <c:numCache/>
            </c:numRef>
          </c:val>
        </c:ser>
        <c:axId val="484058536"/>
        <c:axId val="1392964210"/>
      </c:barChart>
      <c:catAx>
        <c:axId val="484058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1392964210"/>
      </c:catAx>
      <c:valAx>
        <c:axId val="1392964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48405853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11</xdr:row>
      <xdr:rowOff>0</xdr:rowOff>
    </xdr:from>
    <xdr:ext cx="5248275" cy="7267575"/>
    <xdr:sp>
      <xdr:nvSpPr>
        <xdr:cNvPr id="3" name="Shape 3"/>
        <xdr:cNvSpPr txBox="1"/>
      </xdr:nvSpPr>
      <xdr:spPr>
        <a:xfrm>
          <a:off x="2731388" y="155738"/>
          <a:ext cx="5229225" cy="7248525"/>
        </a:xfrm>
        <a:prstGeom prst="rect">
          <a:avLst/>
        </a:prstGeom>
        <a:solidFill>
          <a:schemeClr val="lt1"/>
        </a:solidFill>
        <a:ln cap="flat" cmpd="sng" w="25400">
          <a:solidFill>
            <a:srgbClr val="13254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Essa é uma </a:t>
          </a: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planilha para acompanhamento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 estudo durante a realização do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Cronograma Extensivo (52 Semanas) do Curso Extensivo para Residência Médica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objetivo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é que você possa acompanhar a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evolução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e o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desempenho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no estudo, de modo a estimulá-lo(a), gerar constância e corrigir falhas.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n-US" sz="1200"/>
            <a:t>Você deve fazer o </a:t>
          </a:r>
          <a:r>
            <a:rPr b="1" lang="en-US" sz="1200"/>
            <a:t>download</a:t>
          </a:r>
          <a:r>
            <a:rPr lang="en-US" sz="1200"/>
            <a:t> da planilha para o seu computador ou celular </a:t>
          </a:r>
          <a:r>
            <a:rPr b="1" lang="en-US" sz="1200"/>
            <a:t>para conseguir editar a planilha</a:t>
          </a:r>
          <a:r>
            <a:rPr lang="en-US" sz="1200"/>
            <a:t>. O preenchimento </a:t>
          </a:r>
          <a:r>
            <a:rPr lang="en-US" sz="1200" u="sng"/>
            <a:t>não</a:t>
          </a:r>
          <a:r>
            <a:rPr lang="en-US" sz="1200"/>
            <a:t> deve ser virtual, caso contrário, não irá conseguir editar.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Você só precisa se preocupar em estudar, utilizando as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informações contidas nas Metas Semanais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e preencher brevemente esta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Planilha, durante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o estudo de cada Tarefa, com as seguintes informações: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132549"/>
            </a:buClr>
            <a:buSzPts val="1200"/>
            <a:buFont typeface="Arial"/>
            <a:buNone/>
          </a:pP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1. Realização da Tarefa</a:t>
          </a:r>
          <a:r>
            <a:rPr b="0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</a:t>
          </a:r>
          <a:r>
            <a:rPr b="0" i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clicar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no "</a:t>
          </a: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Sim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" ao realizá-la).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132549"/>
            </a:buClr>
            <a:buSzPts val="1200"/>
            <a:buFont typeface="Arial"/>
            <a:buNone/>
          </a:pP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2.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 </a:t>
          </a: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quantidade de questões realizadas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 lista de questões indicada na tarefa. </a:t>
          </a:r>
          <a:b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3</a:t>
          </a:r>
          <a:r>
            <a:rPr b="1" lang="en-US" sz="1200">
              <a:solidFill>
                <a:srgbClr val="0BA4AE"/>
              </a:solidFill>
              <a:latin typeface="Arial"/>
              <a:ea typeface="Arial"/>
              <a:cs typeface="Arial"/>
              <a:sym typeface="Arial"/>
            </a:rPr>
            <a:t>.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</a:t>
          </a: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número de acertos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 lista de questões realizada.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São informações simples, mas que permitirão a você acompanhar a evolução na realização das tarefas, bem como o desempenho em cada disciplina. 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Sugerimos que fique com a Planilha aberta durante o estudo, para ir preenchendo à medida que for fazendo as questões.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Obs1: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Preencha as informações acima </a:t>
          </a:r>
          <a:r>
            <a:rPr b="1" lang="en-US" sz="12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 aba da especialidade que estiver estudando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na tarefa.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Obs2: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"Quadro Geral" sintetiza as informações incluidas nas abas de cada especialidade.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Não preencha qualquer informação nessa aba!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Obs3: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Ao final, há duas abas referentes aos Simulados Finais (1 e 2), a serem preenchidas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nas semanas finais do estudo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 Preencha quantas questões realizou na tarefa e os seus acertos diários, em cada especialidade, que a planilha calculará o seu desempenho.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Obs4: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Caso preencha erradamente alguma célula, basta deletar o valor desejado.</a:t>
          </a:r>
          <a:endParaRPr sz="1400"/>
        </a:p>
      </xdr:txBody>
    </xdr:sp>
    <xdr:clientData fLocksWithSheet="0"/>
  </xdr:oneCellAnchor>
  <xdr:oneCellAnchor>
    <xdr:from>
      <xdr:col>6</xdr:col>
      <xdr:colOff>9525</xdr:colOff>
      <xdr:row>1</xdr:row>
      <xdr:rowOff>171450</xdr:rowOff>
    </xdr:from>
    <xdr:ext cx="5229225" cy="1590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2</xdr:row>
      <xdr:rowOff>133350</xdr:rowOff>
    </xdr:from>
    <xdr:ext cx="12782550" cy="4419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26</xdr:row>
      <xdr:rowOff>0</xdr:rowOff>
    </xdr:from>
    <xdr:ext cx="21631275" cy="4600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26</xdr:row>
      <xdr:rowOff>0</xdr:rowOff>
    </xdr:from>
    <xdr:ext cx="21631275" cy="4600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F25" displayName="Table_1" name="Table_1" id="1">
  <tableColumns count="5">
    <tableColumn name="Disciplina" id="1"/>
    <tableColumn name="Tarefas Feitas" id="2"/>
    <tableColumn name="% Tarefas Feitas" id="3"/>
    <tableColumn name="Questões Feitas" id="4"/>
    <tableColumn name="% Acertos" id="5"/>
  </tableColumns>
  <tableStyleInfo name="Quadro Geral-style" showColumnStripes="0" showFirstColumn="1" showLastColumn="1" showRowStripes="1"/>
</table>
</file>

<file path=xl/tables/table2.xml><?xml version="1.0" encoding="utf-8"?>
<table xmlns="http://schemas.openxmlformats.org/spreadsheetml/2006/main" ref="B27:F37" displayName="Custo_por_Questão" name="Custo_por_Questão" id="2">
  <tableColumns count="5">
    <tableColumn name="Mês de referência" id="1"/>
    <tableColumn name="Valor acumulado pago" id="2"/>
    <tableColumn name="Questões até o último dia" id="3"/>
    <tableColumn name="Custo / Questão" id="4"/>
    <tableColumn name="C/Q" id="5"/>
  </tableColumns>
  <tableStyleInfo name="Quadro Geral-style 2" showColumnStripes="0" showFirstColumn="1" showLastColumn="1" showRowStripes="1"/>
</table>
</file>

<file path=xl/tables/table3.xml><?xml version="1.0" encoding="utf-8"?>
<table xmlns="http://schemas.openxmlformats.org/spreadsheetml/2006/main" ref="B3:H101" displayName="Table_2" name="Table_2" id="3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ediatria-style" showColumnStripes="0" showFirstColumn="1" showLastColumn="1" showRowStripes="1"/>
</table>
</file>

<file path=xl/tables/table4.xml><?xml version="1.0" encoding="utf-8"?>
<table xmlns="http://schemas.openxmlformats.org/spreadsheetml/2006/main" ref="B3:H91" displayName="Table_3" name="Table_3" id="4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reventiva-style" showColumnStripes="0" showFirstColumn="1" showLastColumn="1" showRowStripes="1"/>
</table>
</file>

<file path=xl/tables/table5.xml><?xml version="1.0" encoding="utf-8"?>
<table xmlns="http://schemas.openxmlformats.org/spreadsheetml/2006/main" ref="B3:H89" displayName="Table_4" name="Table_4" id="5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Cirurgia-style" showColumnStripes="0" showFirstColumn="1" showLastColumn="1" showRowStripes="1"/>
</table>
</file>

<file path=xl/tables/table6.xml><?xml version="1.0" encoding="utf-8"?>
<table xmlns="http://schemas.openxmlformats.org/spreadsheetml/2006/main" ref="B3:H49" displayName="Table_5" name="Table_5" id="6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Infectologia-style" showColumnStripes="0" showFirstColumn="1" showLastColumn="1" showRowStripes="1"/>
</table>
</file>

<file path=xl/tables/table7.xml><?xml version="1.0" encoding="utf-8"?>
<table xmlns="http://schemas.openxmlformats.org/spreadsheetml/2006/main" ref="B3:H65" displayName="Table_6" name="Table_6" id="7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bstetrícia-style" showColumnStripes="0" showFirstColumn="1" showLastColumn="1" showRowStripes="1"/>
</table>
</file>

<file path=xl/tables/table8.xml><?xml version="1.0" encoding="utf-8"?>
<table xmlns="http://schemas.openxmlformats.org/spreadsheetml/2006/main" ref="B3:H67" displayName="Table_7" name="Table_7" id="8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Ginecologia-style" showColumnStripes="0" showFirstColumn="1" showLastColumn="1" showRowStripes="1"/>
</table>
</file>

<file path=xl/tables/table9.xml><?xml version="1.0" encoding="utf-8"?>
<table xmlns="http://schemas.openxmlformats.org/spreadsheetml/2006/main" ref="B3:H35" displayName="Table_8" name="Table_8" id="9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Gastro-style" showColumnStripes="0" showFirstColumn="1" showLastColumn="1" showRowStripes="1"/>
</table>
</file>

<file path=xl/tables/table10.xml><?xml version="1.0" encoding="utf-8"?>
<table xmlns="http://schemas.openxmlformats.org/spreadsheetml/2006/main" ref="B3:H36" displayName="Table_9" name="Table_9" id="10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Endocrino-style" showColumnStripes="0" showFirstColumn="1" showLastColumn="1" showRowStripes="1"/>
</table>
</file>

<file path=xl/tables/table11.xml><?xml version="1.0" encoding="utf-8"?>
<table xmlns="http://schemas.openxmlformats.org/spreadsheetml/2006/main" ref="B3:H36" displayName="Table_10" name="Table_10" id="11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Cardiologia-style" showColumnStripes="0" showFirstColumn="1" showLastColumn="1" showRowStripes="1"/>
</table>
</file>

<file path=xl/tables/table12.xml><?xml version="1.0" encoding="utf-8"?>
<table xmlns="http://schemas.openxmlformats.org/spreadsheetml/2006/main" ref="B3:H21" displayName="Table_11" name="Table_11" id="12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siquiatria-style" showColumnStripes="0" showFirstColumn="1" showLastColumn="1" showRowStripes="1"/>
</table>
</file>

<file path=xl/tables/table13.xml><?xml version="1.0" encoding="utf-8"?>
<table xmlns="http://schemas.openxmlformats.org/spreadsheetml/2006/main" ref="B3:H24" displayName="Table_12" name="Table_12" id="13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Neurologia-style" showColumnStripes="0" showFirstColumn="1" showLastColumn="1" showRowStripes="1"/>
</table>
</file>

<file path=xl/tables/table14.xml><?xml version="1.0" encoding="utf-8"?>
<table xmlns="http://schemas.openxmlformats.org/spreadsheetml/2006/main" ref="B3:H27" displayName="Table_13" name="Table_13" id="14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Nefrologia-style" showColumnStripes="0" showFirstColumn="1" showLastColumn="1" showRowStripes="1"/>
</table>
</file>

<file path=xl/tables/table15.xml><?xml version="1.0" encoding="utf-8"?>
<table xmlns="http://schemas.openxmlformats.org/spreadsheetml/2006/main" ref="B3:H22" displayName="Table_14" name="Table_14" id="15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Hematologia-style" showColumnStripes="0" showFirstColumn="1" showLastColumn="1" showRowStripes="1"/>
</table>
</file>

<file path=xl/tables/table16.xml><?xml version="1.0" encoding="utf-8"?>
<table xmlns="http://schemas.openxmlformats.org/spreadsheetml/2006/main" ref="B3:H24" displayName="Table_15" name="Table_15" id="16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neumo-style" showColumnStripes="0" showFirstColumn="1" showLastColumn="1" showRowStripes="1"/>
</table>
</file>

<file path=xl/tables/table17.xml><?xml version="1.0" encoding="utf-8"?>
<table xmlns="http://schemas.openxmlformats.org/spreadsheetml/2006/main" ref="B3:H13" displayName="Table_16" name="Table_16" id="17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Dermato-style" showColumnStripes="0" showFirstColumn="1" showLastColumn="1" showRowStripes="1"/>
</table>
</file>

<file path=xl/tables/table18.xml><?xml version="1.0" encoding="utf-8"?>
<table xmlns="http://schemas.openxmlformats.org/spreadsheetml/2006/main" ref="B3:H21" displayName="Table_17" name="Table_17" id="18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Reumato-style" showColumnStripes="0" showFirstColumn="1" showLastColumn="1" showRowStripes="1"/>
</table>
</file>

<file path=xl/tables/table19.xml><?xml version="1.0" encoding="utf-8"?>
<table xmlns="http://schemas.openxmlformats.org/spreadsheetml/2006/main" ref="B3:H22" displayName="Table_18" name="Table_18" id="19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Hepato-style" showColumnStripes="0" showFirstColumn="1" showLastColumn="1" showRowStripes="1"/>
</table>
</file>

<file path=xl/tables/table20.xml><?xml version="1.0" encoding="utf-8"?>
<table xmlns="http://schemas.openxmlformats.org/spreadsheetml/2006/main" ref="B3:H15" displayName="Table_19" name="Table_19" id="20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torrino-style" showColumnStripes="0" showFirstColumn="1" showLastColumn="1" showRowStripes="1"/>
</table>
</file>

<file path=xl/tables/table21.xml><?xml version="1.0" encoding="utf-8"?>
<table xmlns="http://schemas.openxmlformats.org/spreadsheetml/2006/main" ref="B3:H18" displayName="Table_20" name="Table_20" id="21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rtopedia-style" showColumnStripes="0" showFirstColumn="1" showLastColumn="1" showRowStripes="1"/>
</table>
</file>

<file path=xl/tables/table22.xml><?xml version="1.0" encoding="utf-8"?>
<table xmlns="http://schemas.openxmlformats.org/spreadsheetml/2006/main" ref="B3:H11" displayName="Table_21" name="Table_21" id="22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ftalmo-style" showColumnStripes="0" showFirstColumn="1" showLastColumn="1" showRowStripes="1"/>
</table>
</file>

<file path=xl/tables/table23.xml><?xml version="1.0" encoding="utf-8"?>
<table xmlns="http://schemas.openxmlformats.org/spreadsheetml/2006/main" ref="B4:E24" displayName="Table_22" name="Table_22" id="23">
  <tableColumns count="4">
    <tableColumn name="Disciplina" id="1"/>
    <tableColumn name="Questões Feitas" id="2"/>
    <tableColumn name="Acertos" id="3"/>
    <tableColumn name="% Acertos" id="4"/>
  </tableColumns>
  <tableStyleInfo name="Simulado Final 1-style" showColumnStripes="0" showFirstColumn="1" showLastColumn="1" showRowStripes="1"/>
</table>
</file>

<file path=xl/tables/table24.xml><?xml version="1.0" encoding="utf-8"?>
<table xmlns="http://schemas.openxmlformats.org/spreadsheetml/2006/main" ref="G4:J24" displayName="Table_23" name="Table_23" id="24">
  <tableColumns count="4">
    <tableColumn name="Disciplina" id="1"/>
    <tableColumn name="Questões Feitas" id="2"/>
    <tableColumn name="Acertos" id="3"/>
    <tableColumn name="% Acertos" id="4"/>
  </tableColumns>
  <tableStyleInfo name="Simulado Final 1-style 2" showColumnStripes="0" showFirstColumn="1" showLastColumn="1" showRowStripes="1"/>
</table>
</file>

<file path=xl/tables/table25.xml><?xml version="1.0" encoding="utf-8"?>
<table xmlns="http://schemas.openxmlformats.org/spreadsheetml/2006/main" ref="L4:O24" displayName="Table_24" name="Table_24" id="25">
  <tableColumns count="4">
    <tableColumn name="Disciplina" id="1"/>
    <tableColumn name="Questões Feitas" id="2"/>
    <tableColumn name="Acertos" id="3"/>
    <tableColumn name="% Acertos" id="4"/>
  </tableColumns>
  <tableStyleInfo name="Simulado Final 1-style 3" showColumnStripes="0" showFirstColumn="1" showLastColumn="1" showRowStripes="1"/>
</table>
</file>

<file path=xl/tables/table26.xml><?xml version="1.0" encoding="utf-8"?>
<table xmlns="http://schemas.openxmlformats.org/spreadsheetml/2006/main" ref="Q4:T24" displayName="Table_25" name="Table_25" id="26">
  <tableColumns count="4">
    <tableColumn name="Disciplina" id="1"/>
    <tableColumn name="Questões Feitas" id="2"/>
    <tableColumn name="Acertos" id="3"/>
    <tableColumn name="% Acertos" id="4"/>
  </tableColumns>
  <tableStyleInfo name="Simulado Final 1-style 4" showColumnStripes="0" showFirstColumn="1" showLastColumn="1" showRowStripes="1"/>
</table>
</file>

<file path=xl/tables/table27.xml><?xml version="1.0" encoding="utf-8"?>
<table xmlns="http://schemas.openxmlformats.org/spreadsheetml/2006/main" ref="V4:Y24" displayName="Table_26" name="Table_26" id="27">
  <tableColumns count="4">
    <tableColumn name="Disciplina" id="1"/>
    <tableColumn name="Questões Feitas" id="2"/>
    <tableColumn name="Acertos" id="3"/>
    <tableColumn name="% Acertos" id="4"/>
  </tableColumns>
  <tableStyleInfo name="Simulado Final 1-style 5" showColumnStripes="0" showFirstColumn="1" showLastColumn="1" showRowStripes="1"/>
</table>
</file>

<file path=xl/tables/table28.xml><?xml version="1.0" encoding="utf-8"?>
<table xmlns="http://schemas.openxmlformats.org/spreadsheetml/2006/main" ref="AA4:AD24" displayName="Table_27" name="Table_27" id="28">
  <tableColumns count="4">
    <tableColumn name="Disciplina" id="1"/>
    <tableColumn name="Questões Feitas" id="2"/>
    <tableColumn name="Acertos" id="3"/>
    <tableColumn name="% Acertos" id="4"/>
  </tableColumns>
  <tableStyleInfo name="Simulado Final 1-style 6" showColumnStripes="0" showFirstColumn="1" showLastColumn="1" showRowStripes="1"/>
</table>
</file>

<file path=xl/tables/table29.xml><?xml version="1.0" encoding="utf-8"?>
<table xmlns="http://schemas.openxmlformats.org/spreadsheetml/2006/main" ref="AF4:AI24" displayName="Table_28" name="Table_28" id="29">
  <tableColumns count="4">
    <tableColumn name="Disciplina" id="1"/>
    <tableColumn name="Questões Feitas" id="2"/>
    <tableColumn name="Acertos" id="3"/>
    <tableColumn name="% Acertos" id="4"/>
  </tableColumns>
  <tableStyleInfo name="Simulado Final 1-style 7" showColumnStripes="0" showFirstColumn="1" showLastColumn="1" showRowStripes="1"/>
</table>
</file>

<file path=xl/tables/table30.xml><?xml version="1.0" encoding="utf-8"?>
<table xmlns="http://schemas.openxmlformats.org/spreadsheetml/2006/main" ref="B28:E49" displayName="Table_29" name="Table_29" id="30">
  <tableColumns count="4">
    <tableColumn name="Disciplina" id="1"/>
    <tableColumn name="Questões Feitas" id="2"/>
    <tableColumn name="Acertos" id="3"/>
    <tableColumn name="% Acertos" id="4"/>
  </tableColumns>
  <tableStyleInfo name="Simulado Final 1-style 8" showColumnStripes="0" showFirstColumn="1" showLastColumn="1" showRowStripes="1"/>
</table>
</file>

<file path=xl/tables/table31.xml><?xml version="1.0" encoding="utf-8"?>
<table xmlns="http://schemas.openxmlformats.org/spreadsheetml/2006/main" ref="B4:E24" displayName="Table_30" name="Table_30" id="31">
  <tableColumns count="4">
    <tableColumn name="Disciplina" id="1"/>
    <tableColumn name="Questões Feitas" id="2"/>
    <tableColumn name="Acertos" id="3"/>
    <tableColumn name="% Acertos" id="4"/>
  </tableColumns>
  <tableStyleInfo name="Simulado Final 2-style" showColumnStripes="0" showFirstColumn="1" showLastColumn="1" showRowStripes="1"/>
</table>
</file>

<file path=xl/tables/table32.xml><?xml version="1.0" encoding="utf-8"?>
<table xmlns="http://schemas.openxmlformats.org/spreadsheetml/2006/main" ref="G4:J24" displayName="Table_31" name="Table_31" id="32">
  <tableColumns count="4">
    <tableColumn name="Disciplina" id="1"/>
    <tableColumn name="Questões Feitas" id="2"/>
    <tableColumn name="Acertos" id="3"/>
    <tableColumn name="% Acertos" id="4"/>
  </tableColumns>
  <tableStyleInfo name="Simulado Final 2-style 2" showColumnStripes="0" showFirstColumn="1" showLastColumn="1" showRowStripes="1"/>
</table>
</file>

<file path=xl/tables/table33.xml><?xml version="1.0" encoding="utf-8"?>
<table xmlns="http://schemas.openxmlformats.org/spreadsheetml/2006/main" ref="L4:O24" displayName="Table_32" name="Table_32" id="33">
  <tableColumns count="4">
    <tableColumn name="Disciplina" id="1"/>
    <tableColumn name="Questões Feitas" id="2"/>
    <tableColumn name="Acertos" id="3"/>
    <tableColumn name="% Acertos" id="4"/>
  </tableColumns>
  <tableStyleInfo name="Simulado Final 2-style 3" showColumnStripes="0" showFirstColumn="1" showLastColumn="1" showRowStripes="1"/>
</table>
</file>

<file path=xl/tables/table34.xml><?xml version="1.0" encoding="utf-8"?>
<table xmlns="http://schemas.openxmlformats.org/spreadsheetml/2006/main" ref="Q4:T24" displayName="Table_33" name="Table_33" id="34">
  <tableColumns count="4">
    <tableColumn name="Disciplina" id="1"/>
    <tableColumn name="Questões Feitas" id="2"/>
    <tableColumn name="Acertos" id="3"/>
    <tableColumn name="% Acertos" id="4"/>
  </tableColumns>
  <tableStyleInfo name="Simulado Final 2-style 4" showColumnStripes="0" showFirstColumn="1" showLastColumn="1" showRowStripes="1"/>
</table>
</file>

<file path=xl/tables/table35.xml><?xml version="1.0" encoding="utf-8"?>
<table xmlns="http://schemas.openxmlformats.org/spreadsheetml/2006/main" ref="V4:Y24" displayName="Table_34" name="Table_34" id="35">
  <tableColumns count="4">
    <tableColumn name="Disciplina" id="1"/>
    <tableColumn name="Questões Feitas" id="2"/>
    <tableColumn name="Acertos" id="3"/>
    <tableColumn name="% Acertos" id="4"/>
  </tableColumns>
  <tableStyleInfo name="Simulado Final 2-style 5" showColumnStripes="0" showFirstColumn="1" showLastColumn="1" showRowStripes="1"/>
</table>
</file>

<file path=xl/tables/table36.xml><?xml version="1.0" encoding="utf-8"?>
<table xmlns="http://schemas.openxmlformats.org/spreadsheetml/2006/main" ref="AA4:AD24" displayName="Table_35" name="Table_35" id="36">
  <tableColumns count="4">
    <tableColumn name="Disciplina" id="1"/>
    <tableColumn name="Questões Feitas" id="2"/>
    <tableColumn name="Acertos" id="3"/>
    <tableColumn name="% Acertos" id="4"/>
  </tableColumns>
  <tableStyleInfo name="Simulado Final 2-style 6" showColumnStripes="0" showFirstColumn="1" showLastColumn="1" showRowStripes="1"/>
</table>
</file>

<file path=xl/tables/table37.xml><?xml version="1.0" encoding="utf-8"?>
<table xmlns="http://schemas.openxmlformats.org/spreadsheetml/2006/main" ref="AF4:AI24" displayName="Table_36" name="Table_36" id="37">
  <tableColumns count="4">
    <tableColumn name="Disciplina" id="1"/>
    <tableColumn name="Questões Feitas" id="2"/>
    <tableColumn name="Acertos" id="3"/>
    <tableColumn name="% Acertos" id="4"/>
  </tableColumns>
  <tableStyleInfo name="Simulado Final 2-style 7" showColumnStripes="0" showFirstColumn="1" showLastColumn="1" showRowStripes="1"/>
</table>
</file>

<file path=xl/tables/table38.xml><?xml version="1.0" encoding="utf-8"?>
<table xmlns="http://schemas.openxmlformats.org/spreadsheetml/2006/main" ref="B28:E49" displayName="Table_37" name="Table_37" id="38">
  <tableColumns count="4">
    <tableColumn name="Disciplina" id="1"/>
    <tableColumn name="Questões Feitas" id="2"/>
    <tableColumn name="Acertos" id="3"/>
    <tableColumn name="% Acertos" id="4"/>
  </tableColumns>
  <tableStyleInfo name="Simulado Final 2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11" Type="http://schemas.openxmlformats.org/officeDocument/2006/relationships/table" Target="../tables/table24.xml"/><Relationship Id="rId10" Type="http://schemas.openxmlformats.org/officeDocument/2006/relationships/table" Target="../tables/table23.xml"/><Relationship Id="rId13" Type="http://schemas.openxmlformats.org/officeDocument/2006/relationships/table" Target="../tables/table26.xml"/><Relationship Id="rId12" Type="http://schemas.openxmlformats.org/officeDocument/2006/relationships/table" Target="../tables/table25.xml"/><Relationship Id="rId15" Type="http://schemas.openxmlformats.org/officeDocument/2006/relationships/table" Target="../tables/table28.xml"/><Relationship Id="rId14" Type="http://schemas.openxmlformats.org/officeDocument/2006/relationships/table" Target="../tables/table27.xml"/><Relationship Id="rId17" Type="http://schemas.openxmlformats.org/officeDocument/2006/relationships/table" Target="../tables/table30.xml"/><Relationship Id="rId16" Type="http://schemas.openxmlformats.org/officeDocument/2006/relationships/table" Target="../tables/table29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11" Type="http://schemas.openxmlformats.org/officeDocument/2006/relationships/table" Target="../tables/table32.xml"/><Relationship Id="rId10" Type="http://schemas.openxmlformats.org/officeDocument/2006/relationships/table" Target="../tables/table31.xml"/><Relationship Id="rId13" Type="http://schemas.openxmlformats.org/officeDocument/2006/relationships/table" Target="../tables/table34.xml"/><Relationship Id="rId12" Type="http://schemas.openxmlformats.org/officeDocument/2006/relationships/table" Target="../tables/table33.xml"/><Relationship Id="rId15" Type="http://schemas.openxmlformats.org/officeDocument/2006/relationships/table" Target="../tables/table36.xml"/><Relationship Id="rId14" Type="http://schemas.openxmlformats.org/officeDocument/2006/relationships/table" Target="../tables/table35.xml"/><Relationship Id="rId17" Type="http://schemas.openxmlformats.org/officeDocument/2006/relationships/table" Target="../tables/table38.xml"/><Relationship Id="rId16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8.71"/>
  </cols>
  <sheetData>
    <row r="6">
      <c r="D6" s="1" t="s">
        <v>0</v>
      </c>
    </row>
    <row r="9" ht="15.0" customHeight="1">
      <c r="B9" s="2"/>
      <c r="C9" s="3"/>
      <c r="D9" s="3"/>
      <c r="E9" s="3"/>
      <c r="F9" s="3"/>
      <c r="G9" s="3"/>
      <c r="H9" s="3"/>
      <c r="I9" s="3"/>
    </row>
    <row r="10">
      <c r="B10" s="3"/>
      <c r="C10" s="3"/>
      <c r="D10" s="3"/>
      <c r="E10" s="3"/>
      <c r="F10" s="3"/>
      <c r="G10" s="3"/>
      <c r="H10" s="3"/>
      <c r="I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3" width="27.43"/>
    <col customWidth="1" min="4" max="4" width="30.29"/>
    <col customWidth="1" min="5" max="5" width="23.43"/>
    <col customWidth="1" min="6" max="6" width="18.29"/>
    <col customWidth="1" min="7" max="7" width="8.71"/>
  </cols>
  <sheetData>
    <row r="2">
      <c r="B2" s="4" t="s">
        <v>1</v>
      </c>
      <c r="C2" s="5"/>
      <c r="D2" s="5"/>
      <c r="E2" s="5"/>
      <c r="F2" s="5"/>
    </row>
    <row r="3">
      <c r="B3" s="6" t="s">
        <v>2</v>
      </c>
      <c r="C3" s="7"/>
      <c r="D3" s="7"/>
      <c r="E3" s="7"/>
      <c r="F3" s="7"/>
      <c r="G3" s="8"/>
    </row>
    <row r="4"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>
      <c r="B5" s="10" t="s">
        <v>8</v>
      </c>
      <c r="C5" s="11">
        <f>Pediatria!E101</f>
        <v>7</v>
      </c>
      <c r="D5" s="12">
        <f>'Quadro Geral'!$C5/97</f>
        <v>0.07216494845</v>
      </c>
      <c r="E5" s="13">
        <f>Pediatria!F101</f>
        <v>192</v>
      </c>
      <c r="F5" s="14">
        <f>Pediatria!H101</f>
        <v>0.796875</v>
      </c>
    </row>
    <row r="6">
      <c r="B6" s="15" t="s">
        <v>9</v>
      </c>
      <c r="C6" s="16">
        <f>Cirurgia!E89</f>
        <v>5</v>
      </c>
      <c r="D6" s="17">
        <f>Cirurgia!E89/85</f>
        <v>0.05882352941</v>
      </c>
      <c r="E6" s="18">
        <f>Cirurgia!F89</f>
        <v>190</v>
      </c>
      <c r="F6" s="19">
        <f>Cirurgia!H89</f>
        <v>0.7842105263</v>
      </c>
    </row>
    <row r="7">
      <c r="B7" s="10" t="s">
        <v>10</v>
      </c>
      <c r="C7" s="11">
        <f>Ginecologia!E67</f>
        <v>5</v>
      </c>
      <c r="D7" s="20">
        <f>Ginecologia!E67/63</f>
        <v>0.07936507937</v>
      </c>
      <c r="E7" s="18">
        <f>Ginecologia!F67</f>
        <v>188</v>
      </c>
      <c r="F7" s="19">
        <f>Ginecologia!H67</f>
        <v>0.7712765957</v>
      </c>
    </row>
    <row r="8">
      <c r="B8" s="15" t="s">
        <v>11</v>
      </c>
      <c r="C8" s="16">
        <f>Preventiva!E91</f>
        <v>8</v>
      </c>
      <c r="D8" s="17">
        <f>Preventiva!E91/87</f>
        <v>0.09195402299</v>
      </c>
      <c r="E8" s="18">
        <f>Preventiva!F91</f>
        <v>309</v>
      </c>
      <c r="F8" s="19">
        <f>Preventiva!H91</f>
        <v>0.7799352751</v>
      </c>
    </row>
    <row r="9">
      <c r="B9" s="10" t="s">
        <v>12</v>
      </c>
      <c r="C9" s="11">
        <f>'Obstetrícia'!E65</f>
        <v>5</v>
      </c>
      <c r="D9" s="20">
        <f>'Obstetrícia'!E65/61</f>
        <v>0.08196721311</v>
      </c>
      <c r="E9" s="13">
        <f>'Obstetrícia'!G65</f>
        <v>115</v>
      </c>
      <c r="F9" s="14">
        <f>'Obstetrícia'!H65</f>
        <v>0.8518518519</v>
      </c>
    </row>
    <row r="10">
      <c r="B10" s="15" t="s">
        <v>13</v>
      </c>
      <c r="C10" s="16">
        <f>Infectologia!E49</f>
        <v>6</v>
      </c>
      <c r="D10" s="17">
        <f>Infectologia!E49/45</f>
        <v>0.1333333333</v>
      </c>
      <c r="E10" s="13">
        <f>Infectologia!F49</f>
        <v>158</v>
      </c>
      <c r="F10" s="14">
        <f>Infectologia!H49</f>
        <v>0.7848101266</v>
      </c>
    </row>
    <row r="11">
      <c r="B11" s="10" t="s">
        <v>14</v>
      </c>
      <c r="C11" s="11">
        <f>Gastro!E35</f>
        <v>2</v>
      </c>
      <c r="D11" s="20">
        <f>Gastro!E35/31</f>
        <v>0.06451612903</v>
      </c>
      <c r="E11" s="18">
        <f>Gastro!F35</f>
        <v>78</v>
      </c>
      <c r="F11" s="19">
        <f>Gastro!H35</f>
        <v>0.7820512821</v>
      </c>
    </row>
    <row r="12">
      <c r="B12" s="15" t="s">
        <v>15</v>
      </c>
      <c r="C12" s="16">
        <f>Cardiologia!E36</f>
        <v>2</v>
      </c>
      <c r="D12" s="21">
        <f>'Quadro Geral'!$C12/32</f>
        <v>0.0625</v>
      </c>
      <c r="E12" s="13">
        <f>Cardiologia!F36</f>
        <v>26</v>
      </c>
      <c r="F12" s="14">
        <f>Cardiologia!H36</f>
        <v>0.5769230769</v>
      </c>
    </row>
    <row r="13">
      <c r="B13" s="10" t="s">
        <v>16</v>
      </c>
      <c r="C13" s="11">
        <f>Nefrologia!E27</f>
        <v>1</v>
      </c>
      <c r="D13" s="20">
        <f>Nefrologia!E27/23</f>
        <v>0.04347826087</v>
      </c>
      <c r="E13" s="13">
        <f>Nefrologia!F27</f>
        <v>40</v>
      </c>
      <c r="F13" s="14">
        <f>Nefrologia!H27</f>
        <v>0.8</v>
      </c>
    </row>
    <row r="14">
      <c r="B14" s="15" t="s">
        <v>17</v>
      </c>
      <c r="C14" s="16">
        <f>Endocrino!E36</f>
        <v>2</v>
      </c>
      <c r="D14" s="21">
        <f>'Quadro Geral'!$C14/32</f>
        <v>0.0625</v>
      </c>
      <c r="E14" s="13">
        <f>Endocrino!F36</f>
        <v>76</v>
      </c>
      <c r="F14" s="14">
        <f>Endocrino!H36</f>
        <v>0.7236842105</v>
      </c>
    </row>
    <row r="15">
      <c r="B15" s="10" t="s">
        <v>18</v>
      </c>
      <c r="C15" s="11">
        <f>Hepato!E22</f>
        <v>0</v>
      </c>
      <c r="D15" s="12">
        <f>'Quadro Geral'!$C15/18</f>
        <v>0</v>
      </c>
      <c r="E15" s="13">
        <f>Hepato!F22</f>
        <v>0</v>
      </c>
      <c r="F15" s="14" t="str">
        <f>Hepato!H22</f>
        <v>#DIV/0!</v>
      </c>
    </row>
    <row r="16">
      <c r="B16" s="15" t="s">
        <v>19</v>
      </c>
      <c r="C16" s="16">
        <f>Neurologia!E24</f>
        <v>6</v>
      </c>
      <c r="D16" s="21">
        <f>'Quadro Geral'!$C16/20</f>
        <v>0.3</v>
      </c>
      <c r="E16" s="13">
        <f>Neurologia!F24</f>
        <v>528</v>
      </c>
      <c r="F16" s="14">
        <f>Neurologia!H24</f>
        <v>0.7840909091</v>
      </c>
    </row>
    <row r="17">
      <c r="B17" s="10" t="s">
        <v>20</v>
      </c>
      <c r="C17" s="11">
        <f>Pneumo!E24</f>
        <v>2</v>
      </c>
      <c r="D17" s="12">
        <f>'Quadro Geral'!$C17/20</f>
        <v>0.1</v>
      </c>
      <c r="E17" s="13">
        <f>Pneumo!F24</f>
        <v>44</v>
      </c>
      <c r="F17" s="14">
        <f>Pneumo!H24</f>
        <v>0.75</v>
      </c>
    </row>
    <row r="18">
      <c r="B18" s="15" t="s">
        <v>21</v>
      </c>
      <c r="C18" s="16">
        <f>Otorrino!E15</f>
        <v>0</v>
      </c>
      <c r="D18" s="21">
        <f>'Quadro Geral'!$C18/11</f>
        <v>0</v>
      </c>
      <c r="E18" s="13">
        <f>Otorrino!F15</f>
        <v>0</v>
      </c>
      <c r="F18" s="14" t="str">
        <f>Otorrino!H15</f>
        <v>#DIV/0!</v>
      </c>
    </row>
    <row r="19">
      <c r="B19" s="10" t="s">
        <v>22</v>
      </c>
      <c r="C19" s="11">
        <f>Psiquiatria!E21</f>
        <v>0</v>
      </c>
      <c r="D19" s="12">
        <f>'Quadro Geral'!$C19/17</f>
        <v>0</v>
      </c>
      <c r="E19" s="13">
        <f>Psiquiatria!F21</f>
        <v>0</v>
      </c>
      <c r="F19" s="14" t="str">
        <f>Psiquiatria!H21</f>
        <v>#DIV/0!</v>
      </c>
    </row>
    <row r="20">
      <c r="B20" s="15" t="s">
        <v>23</v>
      </c>
      <c r="C20" s="16">
        <f>Reumato!E21</f>
        <v>0</v>
      </c>
      <c r="D20" s="21">
        <f>'Quadro Geral'!$C20/17</f>
        <v>0</v>
      </c>
      <c r="E20" s="13">
        <f>Reumato!F21</f>
        <v>0</v>
      </c>
      <c r="F20" s="14" t="str">
        <f>Reumato!H21</f>
        <v>#DIV/0!</v>
      </c>
    </row>
    <row r="21" ht="15.75" customHeight="1">
      <c r="B21" s="10" t="s">
        <v>24</v>
      </c>
      <c r="C21" s="11">
        <f>Hematologia!E22</f>
        <v>1</v>
      </c>
      <c r="D21" s="12">
        <f>'Quadro Geral'!$C21/18</f>
        <v>0.05555555556</v>
      </c>
      <c r="E21" s="13">
        <f>Hematologia!F22</f>
        <v>20</v>
      </c>
      <c r="F21" s="14">
        <f>Hematologia!H22</f>
        <v>0.9</v>
      </c>
    </row>
    <row r="22" ht="15.75" customHeight="1">
      <c r="B22" s="15" t="s">
        <v>25</v>
      </c>
      <c r="C22" s="16">
        <f>Dermato!E13</f>
        <v>0</v>
      </c>
      <c r="D22" s="21">
        <f>'Quadro Geral'!$C22/9</f>
        <v>0</v>
      </c>
      <c r="E22" s="13">
        <f>Dermato!F13</f>
        <v>0</v>
      </c>
      <c r="F22" s="14" t="str">
        <f>Dermato!H13</f>
        <v>#DIV/0!</v>
      </c>
    </row>
    <row r="23" ht="15.75" customHeight="1">
      <c r="B23" s="10" t="s">
        <v>26</v>
      </c>
      <c r="C23" s="11">
        <f>Ortopedia!E18</f>
        <v>0</v>
      </c>
      <c r="D23" s="12">
        <f>'Quadro Geral'!$C23/14</f>
        <v>0</v>
      </c>
      <c r="E23" s="13">
        <f>Ortopedia!F18</f>
        <v>0</v>
      </c>
      <c r="F23" s="14" t="str">
        <f>Ortopedia!H18</f>
        <v>#DIV/0!</v>
      </c>
    </row>
    <row r="24" ht="15.75" customHeight="1">
      <c r="B24" s="15" t="s">
        <v>27</v>
      </c>
      <c r="C24" s="16">
        <f>Oftalmo!E11</f>
        <v>0</v>
      </c>
      <c r="D24" s="21">
        <f>'Quadro Geral'!$C24/7</f>
        <v>0</v>
      </c>
      <c r="E24" s="13">
        <f>Oftalmo!F11</f>
        <v>0</v>
      </c>
      <c r="F24" s="14" t="str">
        <f>Oftalmo!H11</f>
        <v>#DIV/0!</v>
      </c>
    </row>
    <row r="25" ht="15.75" customHeight="1">
      <c r="B25" s="22" t="s">
        <v>28</v>
      </c>
      <c r="C25" s="23">
        <f>SUM(C5:C24)</f>
        <v>52</v>
      </c>
      <c r="D25" s="24">
        <f>SUM(D5:D24)/20</f>
        <v>0.06030790361</v>
      </c>
      <c r="E25" s="22">
        <f>SUM(E5:E24)</f>
        <v>1964</v>
      </c>
      <c r="F25" s="25" t="str">
        <f>#REF!/'Quadro Geral'!$E25</f>
        <v>#REF!</v>
      </c>
    </row>
    <row r="26" ht="15.75" customHeight="1"/>
    <row r="27" ht="15.75" customHeight="1">
      <c r="B27" s="26" t="s">
        <v>29</v>
      </c>
      <c r="C27" s="26" t="s">
        <v>30</v>
      </c>
      <c r="D27" s="26" t="s">
        <v>31</v>
      </c>
      <c r="E27" s="26" t="s">
        <v>32</v>
      </c>
      <c r="F27" s="26" t="s">
        <v>33</v>
      </c>
    </row>
    <row r="28" ht="15.75" customHeight="1">
      <c r="B28" s="27">
        <v>45870.0</v>
      </c>
      <c r="C28" s="28">
        <v>840.0</v>
      </c>
      <c r="D28" s="29">
        <v>549.0</v>
      </c>
      <c r="E28" s="30">
        <f t="shared" ref="E28:E35" si="1">C28/D28</f>
        <v>1.530054645</v>
      </c>
      <c r="F28" s="31" t="s">
        <v>34</v>
      </c>
    </row>
    <row r="29" ht="15.75" customHeight="1">
      <c r="B29" s="27">
        <v>45901.0</v>
      </c>
      <c r="C29" s="28">
        <v>1050.0</v>
      </c>
      <c r="D29" s="29">
        <v>884.0</v>
      </c>
      <c r="E29" s="30">
        <f t="shared" si="1"/>
        <v>1.187782805</v>
      </c>
      <c r="F29" s="32" t="s">
        <v>35</v>
      </c>
      <c r="H29" s="33" t="s">
        <v>34</v>
      </c>
    </row>
    <row r="30" ht="15.75" customHeight="1">
      <c r="B30" s="27">
        <v>45931.0</v>
      </c>
      <c r="C30" s="28">
        <v>1260.0</v>
      </c>
      <c r="D30" s="29">
        <v>1032.0</v>
      </c>
      <c r="E30" s="30">
        <f t="shared" si="1"/>
        <v>1.220930233</v>
      </c>
      <c r="F30" s="32" t="s">
        <v>35</v>
      </c>
      <c r="H30" s="34" t="s">
        <v>36</v>
      </c>
    </row>
    <row r="31" ht="15.75" customHeight="1">
      <c r="B31" s="35">
        <v>45962.0</v>
      </c>
      <c r="C31" s="28">
        <v>1470.0</v>
      </c>
      <c r="D31" s="29">
        <v>1032.0</v>
      </c>
      <c r="E31" s="30">
        <f t="shared" si="1"/>
        <v>1.424418605</v>
      </c>
      <c r="F31" s="36" t="s">
        <v>37</v>
      </c>
      <c r="H31" s="37" t="s">
        <v>35</v>
      </c>
    </row>
    <row r="32" ht="15.75" customHeight="1">
      <c r="B32" s="35">
        <v>45992.0</v>
      </c>
      <c r="C32" s="28">
        <v>1680.0</v>
      </c>
      <c r="D32" s="29">
        <v>1032.0</v>
      </c>
      <c r="E32" s="30">
        <f t="shared" si="1"/>
        <v>1.627906977</v>
      </c>
      <c r="F32" s="31" t="s">
        <v>34</v>
      </c>
      <c r="H32" s="38" t="s">
        <v>38</v>
      </c>
    </row>
    <row r="33" ht="15.75" customHeight="1">
      <c r="B33" s="35">
        <v>46023.0</v>
      </c>
      <c r="C33" s="28">
        <v>1890.0</v>
      </c>
      <c r="D33" s="29">
        <v>1032.0</v>
      </c>
      <c r="E33" s="30">
        <f t="shared" si="1"/>
        <v>1.831395349</v>
      </c>
      <c r="F33" s="31" t="s">
        <v>34</v>
      </c>
      <c r="H33" s="39" t="s">
        <v>39</v>
      </c>
    </row>
    <row r="34" ht="15.75" customHeight="1">
      <c r="B34" s="35">
        <v>46054.0</v>
      </c>
      <c r="C34" s="28">
        <v>2100.0</v>
      </c>
      <c r="D34" s="29">
        <v>1116.0</v>
      </c>
      <c r="E34" s="30">
        <f t="shared" si="1"/>
        <v>1.88172043</v>
      </c>
      <c r="F34" s="31" t="s">
        <v>34</v>
      </c>
    </row>
    <row r="35" ht="15.75" customHeight="1">
      <c r="B35" s="35">
        <v>46082.0</v>
      </c>
      <c r="C35" s="28">
        <v>2310.0</v>
      </c>
      <c r="D35" s="29">
        <v>1749.0</v>
      </c>
      <c r="E35" s="30">
        <f t="shared" si="1"/>
        <v>1.320754717</v>
      </c>
      <c r="F35" s="36" t="s">
        <v>37</v>
      </c>
    </row>
    <row r="36" ht="15.75" customHeight="1">
      <c r="B36" s="35">
        <v>46113.0</v>
      </c>
      <c r="C36" s="28">
        <v>2520.0</v>
      </c>
      <c r="D36" s="29"/>
      <c r="E36" s="29"/>
      <c r="F36" s="40"/>
    </row>
    <row r="37" ht="15.75" customHeight="1">
      <c r="B37" s="35">
        <v>46143.0</v>
      </c>
      <c r="C37" s="28">
        <v>2730.0</v>
      </c>
      <c r="D37" s="29"/>
      <c r="E37" s="29"/>
      <c r="F37" s="40"/>
    </row>
    <row r="38" ht="15.75" customHeight="1"/>
    <row r="39" ht="15.75" customHeight="1"/>
    <row r="40" ht="15.75" customHeight="1"/>
    <row r="41" ht="15.75" customHeight="1">
      <c r="B41" s="41"/>
    </row>
    <row r="42" ht="15.75" customHeight="1">
      <c r="B42" s="41"/>
    </row>
    <row r="43" ht="15.75" customHeight="1">
      <c r="B43" s="4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2:F2"/>
    <mergeCell ref="B3:F3"/>
  </mergeCells>
  <printOptions/>
  <pageMargins bottom="0.787401575" footer="0.0" header="0.0" left="0.511811024" right="0.511811024" top="0.787401575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54.86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48</v>
      </c>
      <c r="D4" s="22" t="s">
        <v>49</v>
      </c>
      <c r="E4" s="49"/>
      <c r="F4" s="49"/>
      <c r="G4" s="49"/>
      <c r="H4" s="25" t="str">
        <f>Pediatria!$G4/Pediatria!$F4</f>
        <v>#DIV/0!</v>
      </c>
    </row>
    <row r="5">
      <c r="B5" s="22">
        <v>2.0</v>
      </c>
      <c r="C5" s="22" t="s">
        <v>48</v>
      </c>
      <c r="D5" s="22" t="s">
        <v>50</v>
      </c>
      <c r="E5" s="49"/>
      <c r="F5" s="49"/>
      <c r="G5" s="49"/>
      <c r="H5" s="25" t="str">
        <f>Pediatria!$G5/Pediatria!$F5</f>
        <v>#DIV/0!</v>
      </c>
      <c r="I5" s="50"/>
      <c r="J5" s="50"/>
    </row>
    <row r="6">
      <c r="B6" s="22">
        <v>3.0</v>
      </c>
      <c r="C6" s="22" t="s">
        <v>48</v>
      </c>
      <c r="D6" s="22" t="s">
        <v>51</v>
      </c>
      <c r="E6" s="49"/>
      <c r="F6" s="49"/>
      <c r="G6" s="49"/>
      <c r="H6" s="25" t="str">
        <f>Pediatria!$G6/Pediatria!$F6</f>
        <v>#DIV/0!</v>
      </c>
    </row>
    <row r="7" ht="24.0" customHeight="1">
      <c r="B7" s="22">
        <v>4.0</v>
      </c>
      <c r="C7" s="22" t="s">
        <v>48</v>
      </c>
      <c r="D7" s="22" t="s">
        <v>52</v>
      </c>
      <c r="E7" s="22"/>
      <c r="F7" s="51"/>
      <c r="G7" s="22"/>
      <c r="H7" s="25" t="str">
        <f>Pediatria!$G7/Pediatria!$F7</f>
        <v>#DIV/0!</v>
      </c>
    </row>
    <row r="8">
      <c r="B8" s="22">
        <v>5.0</v>
      </c>
      <c r="C8" s="22" t="s">
        <v>53</v>
      </c>
      <c r="D8" s="22" t="s">
        <v>49</v>
      </c>
      <c r="E8" s="49"/>
      <c r="F8" s="49"/>
      <c r="G8" s="49"/>
      <c r="H8" s="25" t="str">
        <f>Pediatria!$G8/Pediatria!$F8</f>
        <v>#DIV/0!</v>
      </c>
    </row>
    <row r="9">
      <c r="B9" s="22">
        <v>6.0</v>
      </c>
      <c r="C9" s="22" t="s">
        <v>53</v>
      </c>
      <c r="D9" s="22" t="s">
        <v>50</v>
      </c>
      <c r="E9" s="49"/>
      <c r="F9" s="49"/>
      <c r="G9" s="49"/>
      <c r="H9" s="25" t="str">
        <f>Pediatria!$G9/Pediatria!$F9</f>
        <v>#DIV/0!</v>
      </c>
    </row>
    <row r="10">
      <c r="B10" s="22">
        <v>7.0</v>
      </c>
      <c r="C10" s="22" t="s">
        <v>53</v>
      </c>
      <c r="D10" s="22" t="s">
        <v>52</v>
      </c>
      <c r="E10" s="49"/>
      <c r="F10" s="22"/>
      <c r="G10" s="22"/>
      <c r="H10" s="25" t="str">
        <f>Pediatria!$G10/Pediatria!$F10</f>
        <v>#DIV/0!</v>
      </c>
    </row>
    <row r="11">
      <c r="B11" s="22">
        <v>8.0</v>
      </c>
      <c r="C11" s="22" t="s">
        <v>54</v>
      </c>
      <c r="D11" s="22" t="s">
        <v>49</v>
      </c>
      <c r="E11" s="49"/>
      <c r="F11" s="49"/>
      <c r="G11" s="49"/>
      <c r="H11" s="25" t="str">
        <f>Pediatria!$G11/Pediatria!$F11</f>
        <v>#DIV/0!</v>
      </c>
    </row>
    <row r="12">
      <c r="B12" s="22">
        <v>9.0</v>
      </c>
      <c r="C12" s="22" t="s">
        <v>54</v>
      </c>
      <c r="D12" s="22" t="s">
        <v>50</v>
      </c>
      <c r="E12" s="49"/>
      <c r="F12" s="22"/>
      <c r="G12" s="22"/>
      <c r="H12" s="25" t="str">
        <f>Pediatria!$G12/Pediatria!$F12</f>
        <v>#DIV/0!</v>
      </c>
    </row>
    <row r="13">
      <c r="B13" s="22">
        <v>10.0</v>
      </c>
      <c r="C13" s="22" t="s">
        <v>54</v>
      </c>
      <c r="D13" s="22" t="s">
        <v>52</v>
      </c>
      <c r="E13" s="22"/>
      <c r="F13" s="22"/>
      <c r="G13" s="22"/>
      <c r="H13" s="25" t="str">
        <f>Pediatria!$G13/Pediatria!$F13</f>
        <v>#DIV/0!</v>
      </c>
    </row>
    <row r="14">
      <c r="B14" s="22">
        <v>11.0</v>
      </c>
      <c r="C14" s="52" t="s">
        <v>55</v>
      </c>
      <c r="D14" s="52" t="s">
        <v>49</v>
      </c>
      <c r="E14" s="53" t="s">
        <v>40</v>
      </c>
      <c r="F14" s="53">
        <v>28.0</v>
      </c>
      <c r="G14" s="53">
        <v>24.0</v>
      </c>
      <c r="H14" s="25">
        <f>Pediatria!$G14/Pediatria!$F14</f>
        <v>0.8571428571</v>
      </c>
    </row>
    <row r="15">
      <c r="B15" s="22">
        <v>12.0</v>
      </c>
      <c r="C15" s="52" t="s">
        <v>55</v>
      </c>
      <c r="D15" s="22" t="s">
        <v>50</v>
      </c>
      <c r="E15" s="49"/>
      <c r="F15" s="49"/>
      <c r="G15" s="49"/>
      <c r="H15" s="25" t="str">
        <f>Pediatria!$G15/Pediatria!$F15</f>
        <v>#DIV/0!</v>
      </c>
    </row>
    <row r="16">
      <c r="B16" s="22">
        <v>13.0</v>
      </c>
      <c r="C16" s="52" t="s">
        <v>55</v>
      </c>
      <c r="D16" s="22" t="s">
        <v>51</v>
      </c>
      <c r="E16" s="49"/>
      <c r="F16" s="49"/>
      <c r="G16" s="49"/>
      <c r="H16" s="25" t="str">
        <f>Pediatria!$G16/Pediatria!$F16</f>
        <v>#DIV/0!</v>
      </c>
    </row>
    <row r="17">
      <c r="B17" s="22">
        <v>14.0</v>
      </c>
      <c r="C17" s="52" t="s">
        <v>55</v>
      </c>
      <c r="D17" s="22" t="s">
        <v>52</v>
      </c>
      <c r="E17" s="22"/>
      <c r="F17" s="22"/>
      <c r="G17" s="22"/>
      <c r="H17" s="25" t="str">
        <f>Pediatria!$G17/Pediatria!$F17</f>
        <v>#DIV/0!</v>
      </c>
    </row>
    <row r="18">
      <c r="B18" s="22">
        <v>15.0</v>
      </c>
      <c r="C18" s="52" t="s">
        <v>56</v>
      </c>
      <c r="D18" s="22" t="s">
        <v>57</v>
      </c>
      <c r="E18" s="22"/>
      <c r="F18" s="22"/>
      <c r="G18" s="22"/>
      <c r="H18" s="25" t="str">
        <f>Pediatria!$G18/Pediatria!$F18</f>
        <v>#DIV/0!</v>
      </c>
    </row>
    <row r="19">
      <c r="B19" s="22">
        <v>16.0</v>
      </c>
      <c r="C19" s="22" t="s">
        <v>58</v>
      </c>
      <c r="D19" s="22" t="s">
        <v>49</v>
      </c>
      <c r="E19" s="53" t="s">
        <v>40</v>
      </c>
      <c r="F19" s="53">
        <v>20.0</v>
      </c>
      <c r="G19" s="53">
        <v>16.0</v>
      </c>
      <c r="H19" s="25">
        <f>Pediatria!$G19/Pediatria!$F19</f>
        <v>0.8</v>
      </c>
    </row>
    <row r="20">
      <c r="B20" s="22">
        <v>17.0</v>
      </c>
      <c r="C20" s="52" t="s">
        <v>58</v>
      </c>
      <c r="D20" s="52" t="s">
        <v>50</v>
      </c>
      <c r="E20" s="53" t="s">
        <v>40</v>
      </c>
      <c r="F20" s="53">
        <v>20.0</v>
      </c>
      <c r="G20" s="53">
        <v>13.0</v>
      </c>
      <c r="H20" s="25">
        <f>Pediatria!$G20/Pediatria!$F20</f>
        <v>0.65</v>
      </c>
    </row>
    <row r="21" ht="15.75" customHeight="1">
      <c r="B21" s="22">
        <v>18.0</v>
      </c>
      <c r="C21" s="52" t="s">
        <v>58</v>
      </c>
      <c r="D21" s="22" t="s">
        <v>52</v>
      </c>
      <c r="E21" s="53" t="s">
        <v>40</v>
      </c>
      <c r="F21" s="53">
        <v>40.0</v>
      </c>
      <c r="G21" s="53">
        <v>34.0</v>
      </c>
      <c r="H21" s="25">
        <f>Pediatria!$G21/Pediatria!$F21</f>
        <v>0.85</v>
      </c>
    </row>
    <row r="22" ht="15.75" customHeight="1">
      <c r="B22" s="22">
        <v>19.0</v>
      </c>
      <c r="C22" s="22" t="s">
        <v>59</v>
      </c>
      <c r="D22" s="22" t="s">
        <v>49</v>
      </c>
      <c r="E22" s="53" t="s">
        <v>40</v>
      </c>
      <c r="F22" s="53">
        <v>24.0</v>
      </c>
      <c r="G22" s="53">
        <v>17.0</v>
      </c>
      <c r="H22" s="25">
        <f>Pediatria!$G22/Pediatria!$F22</f>
        <v>0.7083333333</v>
      </c>
    </row>
    <row r="23" ht="15.75" customHeight="1">
      <c r="B23" s="22">
        <v>20.0</v>
      </c>
      <c r="C23" s="22" t="s">
        <v>59</v>
      </c>
      <c r="D23" s="22" t="s">
        <v>50</v>
      </c>
      <c r="E23" s="53" t="s">
        <v>40</v>
      </c>
      <c r="F23" s="53">
        <v>20.0</v>
      </c>
      <c r="G23" s="53">
        <v>15.0</v>
      </c>
      <c r="H23" s="25">
        <f>Pediatria!$G23/Pediatria!$F23</f>
        <v>0.75</v>
      </c>
    </row>
    <row r="24" ht="15.75" customHeight="1">
      <c r="B24" s="22">
        <v>21.0</v>
      </c>
      <c r="C24" s="22" t="s">
        <v>59</v>
      </c>
      <c r="D24" s="22" t="s">
        <v>52</v>
      </c>
      <c r="E24" s="53" t="s">
        <v>40</v>
      </c>
      <c r="F24" s="53">
        <v>40.0</v>
      </c>
      <c r="G24" s="53">
        <v>34.0</v>
      </c>
      <c r="H24" s="25">
        <f>Pediatria!$G24/Pediatria!$F24</f>
        <v>0.85</v>
      </c>
    </row>
    <row r="25" ht="15.75" customHeight="1">
      <c r="B25" s="22">
        <v>22.0</v>
      </c>
      <c r="C25" s="22" t="s">
        <v>60</v>
      </c>
      <c r="D25" s="22" t="s">
        <v>49</v>
      </c>
      <c r="E25" s="49"/>
      <c r="F25" s="22"/>
      <c r="G25" s="22"/>
      <c r="H25" s="25" t="str">
        <f>Pediatria!$G25/Pediatria!$F25</f>
        <v>#DIV/0!</v>
      </c>
    </row>
    <row r="26" ht="15.75" customHeight="1">
      <c r="B26" s="22">
        <v>23.0</v>
      </c>
      <c r="C26" s="22" t="s">
        <v>60</v>
      </c>
      <c r="D26" s="22" t="s">
        <v>50</v>
      </c>
      <c r="E26" s="49"/>
      <c r="F26" s="22"/>
      <c r="G26" s="22"/>
      <c r="H26" s="25" t="str">
        <f>Pediatria!$G26/Pediatria!$F26</f>
        <v>#DIV/0!</v>
      </c>
    </row>
    <row r="27" ht="15.75" customHeight="1">
      <c r="B27" s="22">
        <v>24.0</v>
      </c>
      <c r="C27" s="22" t="s">
        <v>60</v>
      </c>
      <c r="D27" s="22" t="s">
        <v>51</v>
      </c>
      <c r="E27" s="49"/>
      <c r="F27" s="22"/>
      <c r="G27" s="22"/>
      <c r="H27" s="25" t="str">
        <f>Pediatria!$G27/Pediatria!$F27</f>
        <v>#DIV/0!</v>
      </c>
    </row>
    <row r="28" ht="15.75" customHeight="1">
      <c r="B28" s="22">
        <v>25.0</v>
      </c>
      <c r="C28" s="22" t="s">
        <v>60</v>
      </c>
      <c r="D28" s="22" t="s">
        <v>52</v>
      </c>
      <c r="E28" s="22"/>
      <c r="F28" s="22"/>
      <c r="G28" s="22"/>
      <c r="H28" s="25" t="str">
        <f>Pediatria!$G28/Pediatria!$F28</f>
        <v>#DIV/0!</v>
      </c>
    </row>
    <row r="29" ht="15.75" customHeight="1">
      <c r="B29" s="22">
        <v>26.0</v>
      </c>
      <c r="C29" s="22" t="s">
        <v>61</v>
      </c>
      <c r="D29" s="22" t="s">
        <v>49</v>
      </c>
      <c r="E29" s="49"/>
      <c r="F29" s="49"/>
      <c r="G29" s="49"/>
      <c r="H29" s="25" t="str">
        <f>Pediatria!$G29/Pediatria!$F29</f>
        <v>#DIV/0!</v>
      </c>
    </row>
    <row r="30" ht="15.75" customHeight="1">
      <c r="B30" s="22">
        <v>27.0</v>
      </c>
      <c r="C30" s="22" t="s">
        <v>61</v>
      </c>
      <c r="D30" s="22" t="s">
        <v>50</v>
      </c>
      <c r="E30" s="49"/>
      <c r="F30" s="22"/>
      <c r="G30" s="22"/>
      <c r="H30" s="25" t="str">
        <f>Pediatria!$G30/Pediatria!$F30</f>
        <v>#DIV/0!</v>
      </c>
    </row>
    <row r="31" ht="15.75" customHeight="1">
      <c r="B31" s="22">
        <v>28.0</v>
      </c>
      <c r="C31" s="22" t="s">
        <v>61</v>
      </c>
      <c r="D31" s="22" t="s">
        <v>52</v>
      </c>
      <c r="E31" s="22"/>
      <c r="F31" s="22"/>
      <c r="G31" s="22"/>
      <c r="H31" s="25" t="str">
        <f>Pediatria!$G31/Pediatria!$F31</f>
        <v>#DIV/0!</v>
      </c>
    </row>
    <row r="32" ht="15.75" customHeight="1">
      <c r="B32" s="22">
        <v>29.0</v>
      </c>
      <c r="C32" s="52" t="s">
        <v>62</v>
      </c>
      <c r="D32" s="22" t="s">
        <v>57</v>
      </c>
      <c r="E32" s="22"/>
      <c r="F32" s="22"/>
      <c r="G32" s="22"/>
      <c r="H32" s="25" t="str">
        <f>Pediatria!$G32/Pediatria!$F32</f>
        <v>#DIV/0!</v>
      </c>
    </row>
    <row r="33" ht="15.75" customHeight="1">
      <c r="B33" s="22">
        <v>30.0</v>
      </c>
      <c r="C33" s="22" t="s">
        <v>63</v>
      </c>
      <c r="D33" s="22" t="s">
        <v>49</v>
      </c>
      <c r="E33" s="22"/>
      <c r="F33" s="22"/>
      <c r="G33" s="22"/>
      <c r="H33" s="25" t="str">
        <f>Pediatria!$G33/Pediatria!$F33</f>
        <v>#DIV/0!</v>
      </c>
    </row>
    <row r="34" ht="15.75" customHeight="1">
      <c r="B34" s="22">
        <v>31.0</v>
      </c>
      <c r="C34" s="22" t="s">
        <v>63</v>
      </c>
      <c r="D34" s="22" t="s">
        <v>50</v>
      </c>
      <c r="E34" s="49"/>
      <c r="F34" s="49"/>
      <c r="G34" s="49"/>
      <c r="H34" s="25" t="str">
        <f>Pediatria!$G34/Pediatria!$F34</f>
        <v>#DIV/0!</v>
      </c>
    </row>
    <row r="35" ht="15.75" customHeight="1">
      <c r="B35" s="22">
        <v>32.0</v>
      </c>
      <c r="C35" s="22" t="s">
        <v>63</v>
      </c>
      <c r="D35" s="22" t="s">
        <v>52</v>
      </c>
      <c r="E35" s="22"/>
      <c r="F35" s="22"/>
      <c r="G35" s="22"/>
      <c r="H35" s="25" t="str">
        <f>Pediatria!$G35/Pediatria!$F35</f>
        <v>#DIV/0!</v>
      </c>
    </row>
    <row r="36" ht="15.75" customHeight="1">
      <c r="B36" s="22">
        <v>33.0</v>
      </c>
      <c r="C36" s="22" t="s">
        <v>64</v>
      </c>
      <c r="D36" s="22" t="s">
        <v>49</v>
      </c>
      <c r="E36" s="49"/>
      <c r="F36" s="22"/>
      <c r="G36" s="22"/>
      <c r="H36" s="25" t="str">
        <f>Pediatria!$G36/Pediatria!$F36</f>
        <v>#DIV/0!</v>
      </c>
    </row>
    <row r="37" ht="15.75" customHeight="1">
      <c r="B37" s="22">
        <v>34.0</v>
      </c>
      <c r="C37" s="22" t="s">
        <v>64</v>
      </c>
      <c r="D37" s="22" t="s">
        <v>50</v>
      </c>
      <c r="E37" s="49"/>
      <c r="F37" s="22"/>
      <c r="G37" s="22"/>
      <c r="H37" s="25" t="str">
        <f>Pediatria!$G37/Pediatria!$F37</f>
        <v>#DIV/0!</v>
      </c>
    </row>
    <row r="38" ht="15.75" customHeight="1">
      <c r="B38" s="22">
        <v>35.0</v>
      </c>
      <c r="C38" s="22" t="s">
        <v>64</v>
      </c>
      <c r="D38" s="22" t="s">
        <v>52</v>
      </c>
      <c r="E38" s="22"/>
      <c r="F38" s="22"/>
      <c r="G38" s="22"/>
      <c r="H38" s="25" t="str">
        <f>Pediatria!$G38/Pediatria!$F38</f>
        <v>#DIV/0!</v>
      </c>
    </row>
    <row r="39" ht="15.75" customHeight="1">
      <c r="B39" s="22">
        <v>36.0</v>
      </c>
      <c r="C39" s="22" t="s">
        <v>65</v>
      </c>
      <c r="D39" s="22" t="s">
        <v>49</v>
      </c>
      <c r="E39" s="49"/>
      <c r="F39" s="49"/>
      <c r="G39" s="49"/>
      <c r="H39" s="25" t="str">
        <f>Pediatria!$G39/Pediatria!$F39</f>
        <v>#DIV/0!</v>
      </c>
    </row>
    <row r="40" ht="15.75" customHeight="1">
      <c r="B40" s="22">
        <v>37.0</v>
      </c>
      <c r="C40" s="22" t="s">
        <v>65</v>
      </c>
      <c r="D40" s="22" t="s">
        <v>50</v>
      </c>
      <c r="E40" s="49"/>
      <c r="F40" s="49"/>
      <c r="G40" s="49"/>
      <c r="H40" s="25" t="str">
        <f>Pediatria!$G40/Pediatria!$F40</f>
        <v>#DIV/0!</v>
      </c>
    </row>
    <row r="41" ht="15.75" customHeight="1">
      <c r="B41" s="22">
        <v>38.0</v>
      </c>
      <c r="C41" s="22" t="s">
        <v>65</v>
      </c>
      <c r="D41" s="22" t="s">
        <v>52</v>
      </c>
      <c r="E41" s="22"/>
      <c r="F41" s="22"/>
      <c r="G41" s="22"/>
      <c r="H41" s="25" t="str">
        <f>Pediatria!$G41/Pediatria!$F41</f>
        <v>#DIV/0!</v>
      </c>
    </row>
    <row r="42" ht="15.75" customHeight="1">
      <c r="B42" s="22">
        <v>39.0</v>
      </c>
      <c r="C42" s="22" t="s">
        <v>66</v>
      </c>
      <c r="D42" s="22" t="s">
        <v>67</v>
      </c>
      <c r="E42" s="49"/>
      <c r="F42" s="49"/>
      <c r="G42" s="49"/>
      <c r="H42" s="25" t="str">
        <f>Pediatria!$G42/Pediatria!$F42</f>
        <v>#DIV/0!</v>
      </c>
    </row>
    <row r="43" ht="15.75" customHeight="1">
      <c r="B43" s="22">
        <v>40.0</v>
      </c>
      <c r="C43" s="22" t="s">
        <v>66</v>
      </c>
      <c r="D43" s="22" t="s">
        <v>52</v>
      </c>
      <c r="E43" s="22"/>
      <c r="F43" s="22"/>
      <c r="G43" s="22"/>
      <c r="H43" s="25" t="str">
        <f>Pediatria!$G43/Pediatria!$F43</f>
        <v>#DIV/0!</v>
      </c>
    </row>
    <row r="44" ht="15.75" customHeight="1">
      <c r="B44" s="22">
        <v>41.0</v>
      </c>
      <c r="C44" s="52" t="s">
        <v>68</v>
      </c>
      <c r="D44" s="22" t="s">
        <v>57</v>
      </c>
      <c r="E44" s="22"/>
      <c r="F44" s="22"/>
      <c r="G44" s="22"/>
      <c r="H44" s="25" t="str">
        <f>Pediatria!$G44/Pediatria!$F44</f>
        <v>#DIV/0!</v>
      </c>
    </row>
    <row r="45" ht="15.75" customHeight="1">
      <c r="B45" s="22">
        <v>42.0</v>
      </c>
      <c r="C45" s="52" t="s">
        <v>69</v>
      </c>
      <c r="D45" s="22" t="s">
        <v>67</v>
      </c>
      <c r="E45" s="22"/>
      <c r="F45" s="22"/>
      <c r="G45" s="22"/>
      <c r="H45" s="25" t="str">
        <f>Pediatria!$G45/Pediatria!$F45</f>
        <v>#DIV/0!</v>
      </c>
    </row>
    <row r="46" ht="15.75" customHeight="1">
      <c r="B46" s="22">
        <v>43.0</v>
      </c>
      <c r="C46" s="52" t="s">
        <v>69</v>
      </c>
      <c r="D46" s="22" t="s">
        <v>52</v>
      </c>
      <c r="E46" s="22"/>
      <c r="F46" s="22"/>
      <c r="G46" s="22"/>
      <c r="H46" s="25" t="str">
        <f>Pediatria!$G46/Pediatria!$F46</f>
        <v>#DIV/0!</v>
      </c>
    </row>
    <row r="47" ht="15.75" customHeight="1">
      <c r="B47" s="22">
        <v>44.0</v>
      </c>
      <c r="C47" s="22" t="s">
        <v>70</v>
      </c>
      <c r="D47" s="22" t="s">
        <v>67</v>
      </c>
      <c r="E47" s="49"/>
      <c r="F47" s="49"/>
      <c r="G47" s="49"/>
      <c r="H47" s="25" t="str">
        <f>Pediatria!$G47/Pediatria!$F47</f>
        <v>#DIV/0!</v>
      </c>
    </row>
    <row r="48" ht="15.75" customHeight="1">
      <c r="B48" s="22">
        <v>45.0</v>
      </c>
      <c r="C48" s="52" t="s">
        <v>71</v>
      </c>
      <c r="D48" s="22" t="s">
        <v>67</v>
      </c>
      <c r="E48" s="22"/>
      <c r="F48" s="22"/>
      <c r="G48" s="22"/>
      <c r="H48" s="25" t="str">
        <f>Pediatria!$G48/Pediatria!$F48</f>
        <v>#DIV/0!</v>
      </c>
    </row>
    <row r="49" ht="15.75" customHeight="1">
      <c r="B49" s="22">
        <v>46.0</v>
      </c>
      <c r="C49" s="22" t="s">
        <v>70</v>
      </c>
      <c r="D49" s="22" t="s">
        <v>52</v>
      </c>
      <c r="E49" s="22"/>
      <c r="F49" s="22"/>
      <c r="G49" s="22"/>
      <c r="H49" s="25" t="str">
        <f>Pediatria!$G49/Pediatria!$F49</f>
        <v>#DIV/0!</v>
      </c>
    </row>
    <row r="50" ht="15.75" customHeight="1">
      <c r="B50" s="22">
        <v>47.0</v>
      </c>
      <c r="C50" s="52" t="s">
        <v>72</v>
      </c>
      <c r="D50" s="22" t="s">
        <v>67</v>
      </c>
      <c r="E50" s="22"/>
      <c r="F50" s="22"/>
      <c r="G50" s="22"/>
      <c r="H50" s="25"/>
    </row>
    <row r="51" ht="15.75" customHeight="1">
      <c r="B51" s="22">
        <v>48.0</v>
      </c>
      <c r="C51" s="22" t="s">
        <v>73</v>
      </c>
      <c r="D51" s="22" t="s">
        <v>67</v>
      </c>
      <c r="E51" s="49"/>
      <c r="F51" s="49"/>
      <c r="G51" s="49"/>
      <c r="H51" s="25" t="str">
        <f>Pediatria!$G51/Pediatria!$F51</f>
        <v>#DIV/0!</v>
      </c>
    </row>
    <row r="52" ht="15.75" customHeight="1">
      <c r="B52" s="22">
        <v>49.0</v>
      </c>
      <c r="C52" s="22" t="s">
        <v>73</v>
      </c>
      <c r="D52" s="22" t="s">
        <v>52</v>
      </c>
      <c r="E52" s="22"/>
      <c r="F52" s="22"/>
      <c r="G52" s="22"/>
      <c r="H52" s="25" t="str">
        <f>Pediatria!$G52/Pediatria!$F52</f>
        <v>#DIV/0!</v>
      </c>
    </row>
    <row r="53" ht="15.75" customHeight="1">
      <c r="B53" s="22">
        <v>50.0</v>
      </c>
      <c r="C53" s="52" t="s">
        <v>74</v>
      </c>
      <c r="D53" s="22" t="s">
        <v>57</v>
      </c>
      <c r="E53" s="22"/>
      <c r="F53" s="22"/>
      <c r="G53" s="22"/>
      <c r="H53" s="25" t="str">
        <f>Pediatria!$G53/Pediatria!$F53</f>
        <v>#DIV/0!</v>
      </c>
    </row>
    <row r="54" ht="15.75" customHeight="1">
      <c r="B54" s="22">
        <v>51.0</v>
      </c>
      <c r="C54" s="22" t="s">
        <v>75</v>
      </c>
      <c r="D54" s="22" t="s">
        <v>67</v>
      </c>
      <c r="E54" s="49"/>
      <c r="F54" s="49"/>
      <c r="G54" s="49"/>
      <c r="H54" s="25" t="str">
        <f>Pediatria!$G54/Pediatria!$F54</f>
        <v>#DIV/0!</v>
      </c>
    </row>
    <row r="55" ht="15.75" customHeight="1">
      <c r="B55" s="22">
        <v>52.0</v>
      </c>
      <c r="C55" s="22" t="s">
        <v>75</v>
      </c>
      <c r="D55" s="22" t="s">
        <v>52</v>
      </c>
      <c r="E55" s="22"/>
      <c r="F55" s="22"/>
      <c r="G55" s="22"/>
      <c r="H55" s="25" t="str">
        <f>Pediatria!$G55/Pediatria!$F55</f>
        <v>#DIV/0!</v>
      </c>
    </row>
    <row r="56" ht="15.75" customHeight="1">
      <c r="B56" s="22">
        <v>53.0</v>
      </c>
      <c r="C56" s="52" t="s">
        <v>76</v>
      </c>
      <c r="D56" s="22" t="s">
        <v>67</v>
      </c>
      <c r="E56" s="22"/>
      <c r="F56" s="22"/>
      <c r="G56" s="22"/>
      <c r="H56" s="25" t="str">
        <f>Pediatria!$G56/Pediatria!$F56</f>
        <v>#DIV/0!</v>
      </c>
    </row>
    <row r="57" ht="15.75" customHeight="1">
      <c r="B57" s="22">
        <v>54.0</v>
      </c>
      <c r="C57" s="22" t="s">
        <v>77</v>
      </c>
      <c r="D57" s="22" t="s">
        <v>49</v>
      </c>
      <c r="E57" s="49"/>
      <c r="F57" s="49"/>
      <c r="G57" s="49"/>
      <c r="H57" s="25" t="str">
        <f>Pediatria!$G57/Pediatria!$F57</f>
        <v>#DIV/0!</v>
      </c>
    </row>
    <row r="58" ht="15.75" customHeight="1">
      <c r="B58" s="22">
        <v>55.0</v>
      </c>
      <c r="C58" s="22" t="s">
        <v>77</v>
      </c>
      <c r="D58" s="22" t="s">
        <v>50</v>
      </c>
      <c r="E58" s="22"/>
      <c r="F58" s="22"/>
      <c r="G58" s="22"/>
      <c r="H58" s="25" t="str">
        <f>Pediatria!$G58/Pediatria!$F58</f>
        <v>#DIV/0!</v>
      </c>
    </row>
    <row r="59" ht="15.75" customHeight="1">
      <c r="B59" s="22">
        <v>56.0</v>
      </c>
      <c r="C59" s="52" t="s">
        <v>78</v>
      </c>
      <c r="D59" s="22" t="s">
        <v>67</v>
      </c>
      <c r="E59" s="22"/>
      <c r="F59" s="22"/>
      <c r="G59" s="22"/>
      <c r="H59" s="25" t="str">
        <f>Pediatria!$G59/Pediatria!$F59</f>
        <v>#DIV/0!</v>
      </c>
    </row>
    <row r="60" ht="15.75" customHeight="1">
      <c r="B60" s="22">
        <v>57.0</v>
      </c>
      <c r="C60" s="22" t="s">
        <v>77</v>
      </c>
      <c r="D60" s="22" t="s">
        <v>52</v>
      </c>
      <c r="E60" s="22"/>
      <c r="F60" s="22"/>
      <c r="G60" s="22"/>
      <c r="H60" s="25" t="str">
        <f>Pediatria!$G60/Pediatria!$F60</f>
        <v>#DIV/0!</v>
      </c>
    </row>
    <row r="61" ht="15.75" customHeight="1">
      <c r="B61" s="22">
        <v>58.0</v>
      </c>
      <c r="C61" s="22" t="s">
        <v>79</v>
      </c>
      <c r="D61" s="22" t="s">
        <v>49</v>
      </c>
      <c r="E61" s="49"/>
      <c r="F61" s="49"/>
      <c r="G61" s="49"/>
      <c r="H61" s="25" t="str">
        <f>Pediatria!$G61/Pediatria!$F61</f>
        <v>#DIV/0!</v>
      </c>
    </row>
    <row r="62" ht="15.75" customHeight="1">
      <c r="B62" s="22">
        <v>59.0</v>
      </c>
      <c r="C62" s="22" t="s">
        <v>79</v>
      </c>
      <c r="D62" s="22" t="s">
        <v>50</v>
      </c>
      <c r="E62" s="49"/>
      <c r="F62" s="49"/>
      <c r="G62" s="49"/>
      <c r="H62" s="25" t="str">
        <f>Pediatria!$G62/Pediatria!$F62</f>
        <v>#DIV/0!</v>
      </c>
    </row>
    <row r="63" ht="15.75" customHeight="1">
      <c r="B63" s="22">
        <v>60.0</v>
      </c>
      <c r="C63" s="22" t="s">
        <v>79</v>
      </c>
      <c r="D63" s="22" t="s">
        <v>52</v>
      </c>
      <c r="E63" s="22"/>
      <c r="F63" s="22"/>
      <c r="G63" s="22"/>
      <c r="H63" s="25" t="str">
        <f>Pediatria!$G63/Pediatria!$F63</f>
        <v>#DIV/0!</v>
      </c>
    </row>
    <row r="64" ht="15.75" customHeight="1">
      <c r="B64" s="22">
        <v>61.0</v>
      </c>
      <c r="C64" s="22" t="s">
        <v>80</v>
      </c>
      <c r="D64" s="22" t="s">
        <v>67</v>
      </c>
      <c r="E64" s="49"/>
      <c r="F64" s="49"/>
      <c r="G64" s="49"/>
      <c r="H64" s="25" t="str">
        <f>Pediatria!$G64/Pediatria!$F64</f>
        <v>#DIV/0!</v>
      </c>
    </row>
    <row r="65" ht="15.75" customHeight="1">
      <c r="B65" s="22">
        <v>62.0</v>
      </c>
      <c r="C65" s="52" t="s">
        <v>81</v>
      </c>
      <c r="D65" s="22" t="s">
        <v>57</v>
      </c>
      <c r="E65" s="22"/>
      <c r="F65" s="22"/>
      <c r="G65" s="22"/>
      <c r="H65" s="25" t="str">
        <f>Pediatria!$G65/Pediatria!$F65</f>
        <v>#DIV/0!</v>
      </c>
    </row>
    <row r="66" ht="15.75" customHeight="1">
      <c r="B66" s="22">
        <v>63.0</v>
      </c>
      <c r="C66" s="22" t="s">
        <v>80</v>
      </c>
      <c r="D66" s="22" t="s">
        <v>52</v>
      </c>
      <c r="E66" s="22"/>
      <c r="F66" s="22"/>
      <c r="G66" s="22"/>
      <c r="H66" s="25" t="str">
        <f>Pediatria!$G66/Pediatria!$F66</f>
        <v>#DIV/0!</v>
      </c>
    </row>
    <row r="67" ht="15.75" customHeight="1">
      <c r="B67" s="22">
        <v>64.0</v>
      </c>
      <c r="C67" s="22" t="s">
        <v>82</v>
      </c>
      <c r="D67" s="22" t="s">
        <v>67</v>
      </c>
      <c r="E67" s="49"/>
      <c r="F67" s="22"/>
      <c r="G67" s="22"/>
      <c r="H67" s="25" t="str">
        <f>Pediatria!$G67/Pediatria!$F67</f>
        <v>#DIV/0!</v>
      </c>
    </row>
    <row r="68" ht="15.75" customHeight="1">
      <c r="B68" s="22">
        <v>65.0</v>
      </c>
      <c r="C68" s="22" t="s">
        <v>82</v>
      </c>
      <c r="D68" s="22" t="s">
        <v>52</v>
      </c>
      <c r="E68" s="22"/>
      <c r="F68" s="22"/>
      <c r="G68" s="22"/>
      <c r="H68" s="25" t="str">
        <f>Pediatria!$G68/Pediatria!$F68</f>
        <v>#DIV/0!</v>
      </c>
    </row>
    <row r="69" ht="15.75" customHeight="1">
      <c r="B69" s="22">
        <v>66.0</v>
      </c>
      <c r="C69" s="22" t="s">
        <v>83</v>
      </c>
      <c r="D69" s="22" t="s">
        <v>49</v>
      </c>
      <c r="E69" s="49"/>
      <c r="F69" s="49"/>
      <c r="G69" s="49"/>
      <c r="H69" s="25" t="str">
        <f>Pediatria!$G69/Pediatria!$F69</f>
        <v>#DIV/0!</v>
      </c>
    </row>
    <row r="70" ht="15.75" customHeight="1">
      <c r="B70" s="22">
        <v>67.0</v>
      </c>
      <c r="C70" s="22" t="s">
        <v>83</v>
      </c>
      <c r="D70" s="22" t="s">
        <v>50</v>
      </c>
      <c r="E70" s="49"/>
      <c r="F70" s="49"/>
      <c r="G70" s="49"/>
      <c r="H70" s="25" t="str">
        <f>Pediatria!$G70/Pediatria!$F70</f>
        <v>#DIV/0!</v>
      </c>
    </row>
    <row r="71" ht="15.75" customHeight="1">
      <c r="B71" s="22">
        <v>68.0</v>
      </c>
      <c r="C71" s="22" t="s">
        <v>83</v>
      </c>
      <c r="D71" s="22" t="s">
        <v>52</v>
      </c>
      <c r="E71" s="22"/>
      <c r="F71" s="22"/>
      <c r="G71" s="22"/>
      <c r="H71" s="25" t="str">
        <f>Pediatria!$G71/Pediatria!$F71</f>
        <v>#DIV/0!</v>
      </c>
    </row>
    <row r="72" ht="21.75" customHeight="1">
      <c r="B72" s="22">
        <v>69.0</v>
      </c>
      <c r="C72" s="22" t="s">
        <v>84</v>
      </c>
      <c r="D72" s="22" t="s">
        <v>67</v>
      </c>
      <c r="E72" s="49"/>
      <c r="F72" s="22"/>
      <c r="G72" s="22"/>
      <c r="H72" s="25" t="str">
        <f>Pediatria!$G72/Pediatria!$F72</f>
        <v>#DIV/0!</v>
      </c>
    </row>
    <row r="73" ht="21.75" customHeight="1">
      <c r="B73" s="22">
        <v>70.0</v>
      </c>
      <c r="C73" s="22" t="s">
        <v>84</v>
      </c>
      <c r="D73" s="22" t="s">
        <v>52</v>
      </c>
      <c r="E73" s="22"/>
      <c r="F73" s="22"/>
      <c r="G73" s="22"/>
      <c r="H73" s="25" t="str">
        <f>Pediatria!$G73/Pediatria!$F73</f>
        <v>#DIV/0!</v>
      </c>
    </row>
    <row r="74" ht="15.75" customHeight="1">
      <c r="B74" s="22">
        <v>71.0</v>
      </c>
      <c r="C74" s="22" t="s">
        <v>85</v>
      </c>
      <c r="D74" s="22" t="s">
        <v>67</v>
      </c>
      <c r="E74" s="49"/>
      <c r="F74" s="49"/>
      <c r="G74" s="49"/>
      <c r="H74" s="25" t="str">
        <f>Pediatria!$G74/Pediatria!$F74</f>
        <v>#DIV/0!</v>
      </c>
    </row>
    <row r="75" ht="15.75" customHeight="1">
      <c r="B75" s="22">
        <v>72.0</v>
      </c>
      <c r="C75" s="52" t="s">
        <v>86</v>
      </c>
      <c r="D75" s="22" t="s">
        <v>57</v>
      </c>
      <c r="E75" s="49"/>
      <c r="F75" s="49"/>
      <c r="G75" s="49"/>
      <c r="H75" s="25" t="str">
        <f>Pediatria!$G75/Pediatria!$F75</f>
        <v>#DIV/0!</v>
      </c>
    </row>
    <row r="76" ht="15.75" customHeight="1">
      <c r="B76" s="22">
        <v>73.0</v>
      </c>
      <c r="C76" s="22" t="s">
        <v>85</v>
      </c>
      <c r="D76" s="22" t="s">
        <v>52</v>
      </c>
      <c r="E76" s="49"/>
      <c r="F76" s="49"/>
      <c r="G76" s="49"/>
      <c r="H76" s="25" t="str">
        <f>Pediatria!$G76/Pediatria!$F76</f>
        <v>#DIV/0!</v>
      </c>
    </row>
    <row r="77" ht="15.75" customHeight="1">
      <c r="B77" s="22">
        <v>74.0</v>
      </c>
      <c r="C77" s="22" t="s">
        <v>87</v>
      </c>
      <c r="D77" s="22" t="s">
        <v>49</v>
      </c>
      <c r="E77" s="22"/>
      <c r="F77" s="22"/>
      <c r="G77" s="22"/>
      <c r="H77" s="25" t="str">
        <f>Pediatria!$G77/Pediatria!$F77</f>
        <v>#DIV/0!</v>
      </c>
    </row>
    <row r="78" ht="23.25" customHeight="1">
      <c r="B78" s="22">
        <v>75.0</v>
      </c>
      <c r="C78" s="22" t="s">
        <v>87</v>
      </c>
      <c r="D78" s="22" t="s">
        <v>50</v>
      </c>
      <c r="E78" s="22"/>
      <c r="F78" s="22"/>
      <c r="G78" s="22"/>
      <c r="H78" s="25" t="str">
        <f>Pediatria!$G78/Pediatria!$F78</f>
        <v>#DIV/0!</v>
      </c>
    </row>
    <row r="79" ht="20.25" customHeight="1">
      <c r="B79" s="22">
        <v>76.0</v>
      </c>
      <c r="C79" s="22" t="s">
        <v>87</v>
      </c>
      <c r="D79" s="22" t="s">
        <v>52</v>
      </c>
      <c r="E79" s="22"/>
      <c r="F79" s="22"/>
      <c r="G79" s="22"/>
      <c r="H79" s="25" t="str">
        <f>Pediatria!$G79/Pediatria!$F79</f>
        <v>#DIV/0!</v>
      </c>
    </row>
    <row r="80" ht="15.75" customHeight="1">
      <c r="B80" s="22">
        <v>77.0</v>
      </c>
      <c r="C80" s="22" t="s">
        <v>88</v>
      </c>
      <c r="D80" s="22" t="s">
        <v>49</v>
      </c>
      <c r="E80" s="22"/>
      <c r="F80" s="22"/>
      <c r="G80" s="22"/>
      <c r="H80" s="25" t="str">
        <f>Pediatria!$G80/Pediatria!$F80</f>
        <v>#DIV/0!</v>
      </c>
    </row>
    <row r="81" ht="15.75" customHeight="1">
      <c r="B81" s="22">
        <v>78.0</v>
      </c>
      <c r="C81" s="22" t="s">
        <v>88</v>
      </c>
      <c r="D81" s="22" t="s">
        <v>50</v>
      </c>
      <c r="E81" s="22"/>
      <c r="F81" s="22"/>
      <c r="G81" s="22"/>
      <c r="H81" s="25" t="str">
        <f>Pediatria!$G81/Pediatria!$F81</f>
        <v>#DIV/0!</v>
      </c>
    </row>
    <row r="82" ht="15.75" customHeight="1">
      <c r="B82" s="22">
        <v>79.0</v>
      </c>
      <c r="C82" s="22" t="s">
        <v>88</v>
      </c>
      <c r="D82" s="22" t="s">
        <v>51</v>
      </c>
      <c r="E82" s="22"/>
      <c r="F82" s="22"/>
      <c r="G82" s="22"/>
      <c r="H82" s="25" t="str">
        <f>Pediatria!$G82/Pediatria!$F82</f>
        <v>#DIV/0!</v>
      </c>
    </row>
    <row r="83" ht="15.75" customHeight="1">
      <c r="B83" s="22">
        <v>80.0</v>
      </c>
      <c r="C83" s="22" t="s">
        <v>88</v>
      </c>
      <c r="D83" s="22" t="s">
        <v>52</v>
      </c>
      <c r="E83" s="22"/>
      <c r="F83" s="22"/>
      <c r="G83" s="22"/>
      <c r="H83" s="25" t="str">
        <f>Pediatria!$G83/Pediatria!$F83</f>
        <v>#DIV/0!</v>
      </c>
    </row>
    <row r="84" ht="15.75" customHeight="1">
      <c r="B84" s="22">
        <v>81.0</v>
      </c>
      <c r="C84" s="22" t="s">
        <v>89</v>
      </c>
      <c r="D84" s="22" t="s">
        <v>49</v>
      </c>
      <c r="E84" s="22"/>
      <c r="F84" s="22"/>
      <c r="G84" s="22"/>
      <c r="H84" s="25" t="str">
        <f>Pediatria!$G84/Pediatria!$F84</f>
        <v>#DIV/0!</v>
      </c>
    </row>
    <row r="85" ht="15.75" customHeight="1">
      <c r="B85" s="22">
        <v>82.0</v>
      </c>
      <c r="C85" s="22" t="s">
        <v>89</v>
      </c>
      <c r="D85" s="22" t="s">
        <v>50</v>
      </c>
      <c r="E85" s="22"/>
      <c r="F85" s="22"/>
      <c r="G85" s="22"/>
      <c r="H85" s="25" t="str">
        <f>Pediatria!$G85/Pediatria!$F85</f>
        <v>#DIV/0!</v>
      </c>
    </row>
    <row r="86" ht="15.75" customHeight="1">
      <c r="B86" s="22">
        <v>83.0</v>
      </c>
      <c r="C86" s="22" t="s">
        <v>89</v>
      </c>
      <c r="D86" s="22" t="s">
        <v>52</v>
      </c>
      <c r="E86" s="22"/>
      <c r="F86" s="22"/>
      <c r="G86" s="22"/>
      <c r="H86" s="25" t="str">
        <f>Pediatria!$G86/Pediatria!$F86</f>
        <v>#DIV/0!</v>
      </c>
    </row>
    <row r="87" ht="15.75" customHeight="1">
      <c r="B87" s="22">
        <v>84.0</v>
      </c>
      <c r="C87" s="22" t="s">
        <v>90</v>
      </c>
      <c r="D87" s="22" t="s">
        <v>49</v>
      </c>
      <c r="E87" s="22"/>
      <c r="F87" s="22"/>
      <c r="G87" s="22"/>
      <c r="H87" s="25" t="str">
        <f>Pediatria!$G87/Pediatria!$F87</f>
        <v>#DIV/0!</v>
      </c>
    </row>
    <row r="88" ht="15.75" customHeight="1">
      <c r="B88" s="22">
        <v>85.0</v>
      </c>
      <c r="C88" s="52" t="s">
        <v>91</v>
      </c>
      <c r="D88" s="22" t="s">
        <v>57</v>
      </c>
      <c r="E88" s="22"/>
      <c r="F88" s="22"/>
      <c r="G88" s="22"/>
      <c r="H88" s="25" t="str">
        <f>Pediatria!$G88/Pediatria!$F88</f>
        <v>#DIV/0!</v>
      </c>
    </row>
    <row r="89" ht="15.75" customHeight="1">
      <c r="B89" s="22">
        <v>86.0</v>
      </c>
      <c r="C89" s="22" t="s">
        <v>90</v>
      </c>
      <c r="D89" s="22" t="s">
        <v>50</v>
      </c>
      <c r="E89" s="49"/>
      <c r="F89" s="49"/>
      <c r="G89" s="49"/>
      <c r="H89" s="25" t="str">
        <f>Pediatria!$G89/Pediatria!$F89</f>
        <v>#DIV/0!</v>
      </c>
    </row>
    <row r="90" ht="15.75" customHeight="1">
      <c r="B90" s="22">
        <v>87.0</v>
      </c>
      <c r="C90" s="22" t="s">
        <v>90</v>
      </c>
      <c r="D90" s="22" t="s">
        <v>52</v>
      </c>
      <c r="E90" s="49"/>
      <c r="F90" s="49"/>
      <c r="G90" s="49"/>
      <c r="H90" s="25" t="str">
        <f>Pediatria!$G90/Pediatria!$F90</f>
        <v>#DIV/0!</v>
      </c>
    </row>
    <row r="91" ht="15.75" customHeight="1">
      <c r="B91" s="22">
        <v>88.0</v>
      </c>
      <c r="C91" s="22" t="s">
        <v>92</v>
      </c>
      <c r="D91" s="22" t="s">
        <v>49</v>
      </c>
      <c r="E91" s="22"/>
      <c r="F91" s="22"/>
      <c r="G91" s="22"/>
      <c r="H91" s="25" t="str">
        <f>Pediatria!$G91/Pediatria!$F91</f>
        <v>#DIV/0!</v>
      </c>
    </row>
    <row r="92" ht="15.75" customHeight="1">
      <c r="B92" s="22">
        <v>89.0</v>
      </c>
      <c r="C92" s="22" t="s">
        <v>92</v>
      </c>
      <c r="D92" s="22" t="s">
        <v>50</v>
      </c>
      <c r="E92" s="22"/>
      <c r="F92" s="22"/>
      <c r="G92" s="22"/>
      <c r="H92" s="25" t="str">
        <f>Pediatria!$G92/Pediatria!$F92</f>
        <v>#DIV/0!</v>
      </c>
    </row>
    <row r="93" ht="15.75" customHeight="1">
      <c r="B93" s="22">
        <v>90.0</v>
      </c>
      <c r="C93" s="22" t="s">
        <v>92</v>
      </c>
      <c r="D93" s="22" t="s">
        <v>51</v>
      </c>
      <c r="E93" s="22"/>
      <c r="F93" s="22"/>
      <c r="G93" s="22"/>
      <c r="H93" s="25" t="str">
        <f>Pediatria!$G93/Pediatria!$F93</f>
        <v>#DIV/0!</v>
      </c>
    </row>
    <row r="94" ht="15.75" customHeight="1">
      <c r="B94" s="22">
        <v>91.0</v>
      </c>
      <c r="C94" s="22" t="s">
        <v>92</v>
      </c>
      <c r="D94" s="22" t="s">
        <v>52</v>
      </c>
      <c r="E94" s="22"/>
      <c r="F94" s="22"/>
      <c r="G94" s="22"/>
      <c r="H94" s="25" t="str">
        <f>Pediatria!$G94/Pediatria!$F94</f>
        <v>#DIV/0!</v>
      </c>
    </row>
    <row r="95" ht="15.75" customHeight="1">
      <c r="B95" s="22">
        <v>92.0</v>
      </c>
      <c r="C95" s="22" t="s">
        <v>93</v>
      </c>
      <c r="D95" s="22" t="s">
        <v>49</v>
      </c>
      <c r="E95" s="22"/>
      <c r="F95" s="22"/>
      <c r="G95" s="22"/>
      <c r="H95" s="25" t="str">
        <f>Pediatria!$G95/Pediatria!$F95</f>
        <v>#DIV/0!</v>
      </c>
    </row>
    <row r="96" ht="15.75" customHeight="1">
      <c r="B96" s="22">
        <v>93.0</v>
      </c>
      <c r="C96" s="22" t="s">
        <v>93</v>
      </c>
      <c r="D96" s="22" t="s">
        <v>50</v>
      </c>
      <c r="E96" s="22"/>
      <c r="F96" s="49"/>
      <c r="G96" s="49"/>
      <c r="H96" s="25" t="str">
        <f>Pediatria!$G96/Pediatria!$F96</f>
        <v>#DIV/0!</v>
      </c>
    </row>
    <row r="97" ht="15.75" customHeight="1">
      <c r="B97" s="22">
        <v>94.0</v>
      </c>
      <c r="C97" s="22" t="s">
        <v>93</v>
      </c>
      <c r="D97" s="22" t="s">
        <v>52</v>
      </c>
      <c r="E97" s="22"/>
      <c r="F97" s="22"/>
      <c r="G97" s="22"/>
      <c r="H97" s="25" t="str">
        <f>Pediatria!$G97/Pediatria!$F97</f>
        <v>#DIV/0!</v>
      </c>
    </row>
    <row r="98" ht="15.75" customHeight="1">
      <c r="B98" s="22">
        <v>95.0</v>
      </c>
      <c r="C98" s="22" t="s">
        <v>94</v>
      </c>
      <c r="D98" s="22" t="s">
        <v>67</v>
      </c>
      <c r="E98" s="49"/>
      <c r="F98" s="49"/>
      <c r="G98" s="49"/>
      <c r="H98" s="25" t="str">
        <f>Pediatria!$G98/Pediatria!$F98</f>
        <v>#DIV/0!</v>
      </c>
    </row>
    <row r="99" ht="15.75" customHeight="1">
      <c r="B99" s="22">
        <v>96.0</v>
      </c>
      <c r="C99" s="22" t="s">
        <v>94</v>
      </c>
      <c r="D99" s="22" t="s">
        <v>52</v>
      </c>
      <c r="E99" s="22"/>
      <c r="F99" s="22"/>
      <c r="G99" s="22"/>
      <c r="H99" s="25" t="str">
        <f>Pediatria!$G99/Pediatria!$F99</f>
        <v>#DIV/0!</v>
      </c>
    </row>
    <row r="100" ht="15.75" customHeight="1">
      <c r="B100" s="22">
        <v>97.0</v>
      </c>
      <c r="C100" s="52" t="s">
        <v>95</v>
      </c>
      <c r="D100" s="22" t="s">
        <v>57</v>
      </c>
      <c r="E100" s="22"/>
      <c r="F100" s="22"/>
      <c r="G100" s="22"/>
      <c r="H100" s="25" t="str">
        <f>Pediatria!$G100/Pediatria!$F100</f>
        <v>#DIV/0!</v>
      </c>
    </row>
    <row r="101" ht="15.75" customHeight="1">
      <c r="B101" s="9" t="s">
        <v>28</v>
      </c>
      <c r="C101" s="54"/>
      <c r="D101" s="54"/>
      <c r="E101" s="22">
        <f>COUNTA(E4:E100)</f>
        <v>7</v>
      </c>
      <c r="F101" s="22">
        <f t="shared" ref="F101:G101" si="1">SUM(F4:F100)</f>
        <v>192</v>
      </c>
      <c r="G101" s="22">
        <f t="shared" si="1"/>
        <v>153</v>
      </c>
      <c r="H101" s="25">
        <f>Pediatria!$G101/Pediatria!$F101</f>
        <v>0.796875</v>
      </c>
    </row>
    <row r="102" ht="15.75" customHeight="1">
      <c r="B102" s="55"/>
      <c r="C102" s="55"/>
      <c r="D102" s="55"/>
      <c r="E102" s="55"/>
      <c r="F102" s="55"/>
      <c r="G102" s="55"/>
      <c r="H102" s="55"/>
    </row>
    <row r="103" ht="15.75" customHeight="1">
      <c r="B103" s="55"/>
      <c r="C103" s="55"/>
      <c r="D103" s="55"/>
      <c r="E103" s="55"/>
      <c r="F103" s="55"/>
      <c r="G103" s="55"/>
      <c r="H103" s="55"/>
    </row>
    <row r="104" ht="15.75" customHeight="1">
      <c r="B104" s="55"/>
      <c r="C104" s="55"/>
      <c r="D104" s="55"/>
      <c r="E104" s="55"/>
      <c r="F104" s="55"/>
      <c r="G104" s="55"/>
      <c r="H104" s="55"/>
    </row>
    <row r="105" ht="15.75" customHeight="1">
      <c r="B105" s="55"/>
      <c r="C105" s="55"/>
      <c r="D105" s="55"/>
      <c r="E105" s="55"/>
      <c r="F105" s="55"/>
      <c r="G105" s="55"/>
      <c r="H105" s="55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6 E8:E100">
    <cfRule type="containsText" dxfId="10" priority="1" operator="containsText" text="Sim">
      <formula>NOT(ISERROR(SEARCH(("Sim"),(E4))))</formula>
    </cfRule>
  </conditionalFormatting>
  <conditionalFormatting sqref="H5:H45 H47:H86 H88:H1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InputMessage="1" showErrorMessage="1" prompt="Tarefa Realizada? - Click em &quot;Sim&quot; ao realizar toda a Tarefa correspondente!" sqref="E4:E6 E8:E10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6.71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56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49" t="s">
        <v>96</v>
      </c>
      <c r="D4" s="22" t="s">
        <v>67</v>
      </c>
      <c r="E4" s="53" t="s">
        <v>40</v>
      </c>
      <c r="F4" s="53">
        <v>92.0</v>
      </c>
      <c r="G4" s="53">
        <v>69.0</v>
      </c>
      <c r="H4" s="25">
        <f>Preventiva!$G4/Preventiva!F4</f>
        <v>0.75</v>
      </c>
    </row>
    <row r="5">
      <c r="B5" s="22">
        <v>2.0</v>
      </c>
      <c r="C5" s="22" t="s">
        <v>96</v>
      </c>
      <c r="D5" s="22" t="s">
        <v>52</v>
      </c>
      <c r="E5" s="49"/>
      <c r="F5" s="49"/>
      <c r="G5" s="49"/>
      <c r="H5" s="25" t="str">
        <f>Preventiva!$G5/Preventiva!$F5</f>
        <v>#DIV/0!</v>
      </c>
      <c r="I5" s="50"/>
      <c r="J5" s="50"/>
    </row>
    <row r="6">
      <c r="B6" s="22">
        <v>3.0</v>
      </c>
      <c r="C6" s="22" t="s">
        <v>97</v>
      </c>
      <c r="D6" s="22" t="s">
        <v>49</v>
      </c>
      <c r="E6" s="49"/>
      <c r="F6" s="49"/>
      <c r="G6" s="49"/>
      <c r="H6" s="25" t="str">
        <f>Preventiva!$G6/Preventiva!$F6</f>
        <v>#DIV/0!</v>
      </c>
    </row>
    <row r="7" ht="24.0" customHeight="1">
      <c r="B7" s="22">
        <v>4.0</v>
      </c>
      <c r="C7" s="22" t="s">
        <v>97</v>
      </c>
      <c r="D7" s="22" t="s">
        <v>50</v>
      </c>
      <c r="E7" s="22"/>
      <c r="F7" s="49"/>
      <c r="G7" s="49"/>
      <c r="H7" s="25" t="str">
        <f>Preventiva!$G7/Preventiva!$F7</f>
        <v>#DIV/0!</v>
      </c>
    </row>
    <row r="8">
      <c r="B8" s="22">
        <v>5.0</v>
      </c>
      <c r="C8" s="22" t="s">
        <v>97</v>
      </c>
      <c r="D8" s="22" t="s">
        <v>51</v>
      </c>
      <c r="E8" s="49"/>
      <c r="F8" s="49"/>
      <c r="G8" s="49"/>
      <c r="H8" s="25" t="str">
        <f>Preventiva!$G8/Preventiva!$F8</f>
        <v>#DIV/0!</v>
      </c>
    </row>
    <row r="9">
      <c r="B9" s="22">
        <v>6.0</v>
      </c>
      <c r="C9" s="22" t="s">
        <v>97</v>
      </c>
      <c r="D9" s="22" t="s">
        <v>52</v>
      </c>
      <c r="E9" s="22"/>
      <c r="F9" s="22"/>
      <c r="G9" s="22"/>
      <c r="H9" s="25" t="str">
        <f>Preventiva!$G9/Preventiva!$F9</f>
        <v>#DIV/0!</v>
      </c>
    </row>
    <row r="10">
      <c r="B10" s="22">
        <v>7.0</v>
      </c>
      <c r="C10" s="52" t="s">
        <v>98</v>
      </c>
      <c r="D10" s="22" t="s">
        <v>57</v>
      </c>
      <c r="E10" s="22"/>
      <c r="F10" s="22"/>
      <c r="G10" s="22"/>
      <c r="H10" s="25" t="str">
        <f>Preventiva!$G10/Preventiva!$F10</f>
        <v>#DIV/0!</v>
      </c>
    </row>
    <row r="11" ht="15.75" customHeight="1">
      <c r="B11" s="22">
        <v>27.0</v>
      </c>
      <c r="C11" s="52" t="s">
        <v>99</v>
      </c>
      <c r="D11" s="22" t="s">
        <v>57</v>
      </c>
      <c r="E11" s="22"/>
      <c r="F11" s="22"/>
      <c r="G11" s="22"/>
      <c r="H11" s="25" t="str">
        <f>Preventiva!$G11/Preventiva!$F11</f>
        <v>#DIV/0!</v>
      </c>
    </row>
    <row r="12">
      <c r="B12" s="22">
        <v>8.0</v>
      </c>
      <c r="C12" s="52" t="s">
        <v>100</v>
      </c>
      <c r="D12" s="22" t="s">
        <v>49</v>
      </c>
      <c r="E12" s="53" t="s">
        <v>40</v>
      </c>
      <c r="F12" s="53">
        <v>28.0</v>
      </c>
      <c r="G12" s="53">
        <v>21.0</v>
      </c>
      <c r="H12" s="25">
        <f>Preventiva!$G12/Preventiva!$F12</f>
        <v>0.75</v>
      </c>
    </row>
    <row r="13">
      <c r="B13" s="22">
        <v>9.0</v>
      </c>
      <c r="C13" s="52" t="s">
        <v>100</v>
      </c>
      <c r="D13" s="22" t="s">
        <v>50</v>
      </c>
      <c r="E13" s="53" t="s">
        <v>40</v>
      </c>
      <c r="F13" s="53">
        <v>43.0</v>
      </c>
      <c r="G13" s="53">
        <v>33.0</v>
      </c>
      <c r="H13" s="25">
        <f>Preventiva!$G13/Preventiva!$F13</f>
        <v>0.7674418605</v>
      </c>
    </row>
    <row r="14">
      <c r="B14" s="22">
        <v>10.0</v>
      </c>
      <c r="C14" s="52" t="s">
        <v>100</v>
      </c>
      <c r="D14" s="22" t="s">
        <v>101</v>
      </c>
      <c r="E14" s="53" t="s">
        <v>40</v>
      </c>
      <c r="F14" s="53">
        <v>47.0</v>
      </c>
      <c r="G14" s="53">
        <v>38.0</v>
      </c>
      <c r="H14" s="25">
        <f>Preventiva!$G14/Preventiva!$F14</f>
        <v>0.8085106383</v>
      </c>
    </row>
    <row r="15">
      <c r="B15" s="22">
        <v>11.0</v>
      </c>
      <c r="C15" s="52" t="s">
        <v>100</v>
      </c>
      <c r="D15" s="22" t="s">
        <v>51</v>
      </c>
      <c r="E15" s="22"/>
      <c r="F15" s="22"/>
      <c r="G15" s="22"/>
      <c r="H15" s="25" t="str">
        <f>Preventiva!$G15/Preventiva!$F15</f>
        <v>#DIV/0!</v>
      </c>
    </row>
    <row r="16">
      <c r="B16" s="22">
        <v>12.0</v>
      </c>
      <c r="C16" s="52" t="s">
        <v>100</v>
      </c>
      <c r="D16" s="22" t="s">
        <v>102</v>
      </c>
      <c r="E16" s="22"/>
      <c r="F16" s="22"/>
      <c r="G16" s="22"/>
      <c r="H16" s="25" t="str">
        <f>Preventiva!$G16/Preventiva!$F16</f>
        <v>#DIV/0!</v>
      </c>
    </row>
    <row r="17">
      <c r="B17" s="22">
        <v>13.0</v>
      </c>
      <c r="C17" s="52" t="s">
        <v>100</v>
      </c>
      <c r="D17" s="22" t="s">
        <v>103</v>
      </c>
      <c r="E17" s="22"/>
      <c r="F17" s="22"/>
      <c r="G17" s="22"/>
      <c r="H17" s="25" t="str">
        <f>Preventiva!$G17/Preventiva!$F17</f>
        <v>#DIV/0!</v>
      </c>
    </row>
    <row r="18">
      <c r="B18" s="22">
        <v>14.0</v>
      </c>
      <c r="C18" s="22" t="s">
        <v>104</v>
      </c>
      <c r="D18" s="22" t="s">
        <v>49</v>
      </c>
      <c r="E18" s="53" t="s">
        <v>40</v>
      </c>
      <c r="F18" s="53">
        <v>19.0</v>
      </c>
      <c r="G18" s="53">
        <v>11.0</v>
      </c>
      <c r="H18" s="25">
        <f>Preventiva!$G18/Preventiva!$F18</f>
        <v>0.5789473684</v>
      </c>
    </row>
    <row r="19">
      <c r="B19" s="22">
        <v>15.0</v>
      </c>
      <c r="C19" s="22" t="s">
        <v>104</v>
      </c>
      <c r="D19" s="22" t="s">
        <v>50</v>
      </c>
      <c r="E19" s="22"/>
      <c r="F19" s="22"/>
      <c r="G19" s="22"/>
      <c r="H19" s="25" t="str">
        <f>Preventiva!$G19/Preventiva!$F19</f>
        <v>#DIV/0!</v>
      </c>
    </row>
    <row r="20">
      <c r="B20" s="22">
        <v>16.0</v>
      </c>
      <c r="C20" s="22" t="s">
        <v>104</v>
      </c>
      <c r="D20" s="22" t="s">
        <v>101</v>
      </c>
      <c r="E20" s="22"/>
      <c r="F20" s="22"/>
      <c r="G20" s="22"/>
      <c r="H20" s="25" t="str">
        <f>Preventiva!$G20/Preventiva!$F20</f>
        <v>#DIV/0!</v>
      </c>
    </row>
    <row r="21">
      <c r="B21" s="22">
        <v>17.0</v>
      </c>
      <c r="C21" s="22" t="s">
        <v>104</v>
      </c>
      <c r="D21" s="22" t="s">
        <v>51</v>
      </c>
      <c r="E21" s="22"/>
      <c r="F21" s="22"/>
      <c r="G21" s="22"/>
      <c r="H21" s="25" t="str">
        <f>Preventiva!$G21/Preventiva!$F21</f>
        <v>#DIV/0!</v>
      </c>
    </row>
    <row r="22" ht="15.75" customHeight="1">
      <c r="B22" s="22">
        <v>18.0</v>
      </c>
      <c r="C22" s="22" t="s">
        <v>104</v>
      </c>
      <c r="D22" s="22" t="s">
        <v>102</v>
      </c>
      <c r="E22" s="22"/>
      <c r="F22" s="22"/>
      <c r="G22" s="22"/>
      <c r="H22" s="25" t="str">
        <f>Preventiva!$G22/Preventiva!$F22</f>
        <v>#DIV/0!</v>
      </c>
    </row>
    <row r="23" ht="15.75" customHeight="1">
      <c r="B23" s="22">
        <v>19.0</v>
      </c>
      <c r="C23" s="22" t="s">
        <v>104</v>
      </c>
      <c r="D23" s="22" t="s">
        <v>103</v>
      </c>
      <c r="E23" s="22"/>
      <c r="F23" s="22"/>
      <c r="G23" s="22"/>
      <c r="H23" s="25" t="str">
        <f>Preventiva!$G23/Preventiva!$F23</f>
        <v>#DIV/0!</v>
      </c>
    </row>
    <row r="24" ht="15.75" customHeight="1">
      <c r="B24" s="22">
        <v>20.0</v>
      </c>
      <c r="C24" s="22" t="s">
        <v>105</v>
      </c>
      <c r="D24" s="22" t="s">
        <v>49</v>
      </c>
      <c r="E24" s="22"/>
      <c r="F24" s="22"/>
      <c r="G24" s="22"/>
      <c r="H24" s="25" t="str">
        <f>Preventiva!$G24/Preventiva!$F24</f>
        <v>#DIV/0!</v>
      </c>
    </row>
    <row r="25" ht="15.75" customHeight="1">
      <c r="B25" s="22">
        <v>21.0</v>
      </c>
      <c r="C25" s="22" t="s">
        <v>105</v>
      </c>
      <c r="D25" s="22" t="s">
        <v>50</v>
      </c>
      <c r="E25" s="22"/>
      <c r="F25" s="22"/>
      <c r="G25" s="22"/>
      <c r="H25" s="25" t="str">
        <f>Preventiva!$G25/Preventiva!$F25</f>
        <v>#DIV/0!</v>
      </c>
    </row>
    <row r="26" ht="15.75" customHeight="1">
      <c r="B26" s="22">
        <v>22.0</v>
      </c>
      <c r="C26" s="22" t="s">
        <v>105</v>
      </c>
      <c r="D26" s="22" t="s">
        <v>101</v>
      </c>
      <c r="E26" s="22"/>
      <c r="F26" s="22"/>
      <c r="G26" s="22"/>
      <c r="H26" s="25" t="str">
        <f>Preventiva!$G26/Preventiva!$F26</f>
        <v>#DIV/0!</v>
      </c>
    </row>
    <row r="27" ht="15.75" customHeight="1">
      <c r="B27" s="22">
        <v>23.0</v>
      </c>
      <c r="C27" s="22" t="s">
        <v>105</v>
      </c>
      <c r="D27" s="22" t="s">
        <v>51</v>
      </c>
      <c r="E27" s="22"/>
      <c r="F27" s="22"/>
      <c r="G27" s="22"/>
      <c r="H27" s="25" t="str">
        <f>Preventiva!$G27/Preventiva!$F27</f>
        <v>#DIV/0!</v>
      </c>
    </row>
    <row r="28" ht="15.75" customHeight="1">
      <c r="B28" s="22">
        <v>24.0</v>
      </c>
      <c r="C28" s="22" t="s">
        <v>105</v>
      </c>
      <c r="D28" s="22" t="s">
        <v>102</v>
      </c>
      <c r="E28" s="22"/>
      <c r="F28" s="22"/>
      <c r="G28" s="22"/>
      <c r="H28" s="25" t="str">
        <f>Preventiva!$G28/Preventiva!$F28</f>
        <v>#DIV/0!</v>
      </c>
    </row>
    <row r="29" ht="15.75" customHeight="1">
      <c r="B29" s="22">
        <v>25.0</v>
      </c>
      <c r="C29" s="22" t="s">
        <v>105</v>
      </c>
      <c r="D29" s="22" t="s">
        <v>103</v>
      </c>
      <c r="E29" s="22"/>
      <c r="F29" s="22"/>
      <c r="G29" s="22"/>
      <c r="H29" s="25" t="str">
        <f>Preventiva!$G29/Preventiva!$F29</f>
        <v>#DIV/0!</v>
      </c>
    </row>
    <row r="30" ht="15.75" customHeight="1">
      <c r="B30" s="22">
        <v>26.0</v>
      </c>
      <c r="C30" s="22" t="s">
        <v>106</v>
      </c>
      <c r="D30" s="22" t="s">
        <v>49</v>
      </c>
      <c r="E30" s="53" t="s">
        <v>40</v>
      </c>
      <c r="F30" s="53">
        <v>20.0</v>
      </c>
      <c r="G30" s="53">
        <v>17.0</v>
      </c>
      <c r="H30" s="25">
        <f>Preventiva!$G30/Preventiva!$F30</f>
        <v>0.85</v>
      </c>
    </row>
    <row r="31" ht="15.75" customHeight="1">
      <c r="B31" s="22">
        <v>28.0</v>
      </c>
      <c r="C31" s="22" t="s">
        <v>106</v>
      </c>
      <c r="D31" s="22" t="s">
        <v>50</v>
      </c>
      <c r="E31" s="53" t="s">
        <v>40</v>
      </c>
      <c r="F31" s="53">
        <v>19.0</v>
      </c>
      <c r="G31" s="53">
        <v>14.0</v>
      </c>
      <c r="H31" s="25">
        <f>Preventiva!$G31/Preventiva!$F31</f>
        <v>0.7368421053</v>
      </c>
    </row>
    <row r="32" ht="15.75" customHeight="1">
      <c r="B32" s="22">
        <v>29.0</v>
      </c>
      <c r="C32" s="22" t="s">
        <v>106</v>
      </c>
      <c r="D32" s="22" t="s">
        <v>52</v>
      </c>
      <c r="E32" s="53" t="s">
        <v>40</v>
      </c>
      <c r="F32" s="53">
        <v>41.0</v>
      </c>
      <c r="G32" s="53">
        <v>38.0</v>
      </c>
      <c r="H32" s="25">
        <f>Preventiva!$G32/Preventiva!$F32</f>
        <v>0.9268292683</v>
      </c>
    </row>
    <row r="33" ht="15.75" customHeight="1">
      <c r="B33" s="22">
        <v>30.0</v>
      </c>
      <c r="C33" s="22" t="s">
        <v>107</v>
      </c>
      <c r="D33" s="22" t="s">
        <v>49</v>
      </c>
      <c r="E33" s="22"/>
      <c r="F33" s="22"/>
      <c r="G33" s="22"/>
      <c r="H33" s="25" t="str">
        <f>Preventiva!$G33/Preventiva!$F33</f>
        <v>#DIV/0!</v>
      </c>
    </row>
    <row r="34" ht="15.75" customHeight="1">
      <c r="B34" s="22">
        <v>31.0</v>
      </c>
      <c r="C34" s="22" t="s">
        <v>107</v>
      </c>
      <c r="D34" s="22" t="s">
        <v>50</v>
      </c>
      <c r="E34" s="22"/>
      <c r="F34" s="22"/>
      <c r="G34" s="22"/>
      <c r="H34" s="25" t="str">
        <f>Preventiva!$G34/Preventiva!$F34</f>
        <v>#DIV/0!</v>
      </c>
    </row>
    <row r="35" ht="15.75" customHeight="1">
      <c r="B35" s="22">
        <v>32.0</v>
      </c>
      <c r="C35" s="22" t="s">
        <v>107</v>
      </c>
      <c r="D35" s="22" t="s">
        <v>52</v>
      </c>
      <c r="E35" s="22"/>
      <c r="F35" s="22"/>
      <c r="G35" s="22"/>
      <c r="H35" s="25" t="str">
        <f>Preventiva!$G35/Preventiva!$F35</f>
        <v>#DIV/0!</v>
      </c>
    </row>
    <row r="36" ht="15.75" customHeight="1">
      <c r="B36" s="22">
        <v>33.0</v>
      </c>
      <c r="C36" s="22" t="s">
        <v>108</v>
      </c>
      <c r="D36" s="22" t="s">
        <v>67</v>
      </c>
      <c r="E36" s="22"/>
      <c r="F36" s="22"/>
      <c r="G36" s="22"/>
      <c r="H36" s="25" t="str">
        <f>Preventiva!$G36/Preventiva!$F36</f>
        <v>#DIV/0!</v>
      </c>
    </row>
    <row r="37" ht="15.75" customHeight="1">
      <c r="B37" s="22">
        <v>34.0</v>
      </c>
      <c r="C37" s="22" t="s">
        <v>108</v>
      </c>
      <c r="D37" s="22" t="s">
        <v>52</v>
      </c>
      <c r="E37" s="22"/>
      <c r="F37" s="22"/>
      <c r="G37" s="22"/>
      <c r="H37" s="25" t="str">
        <f>Preventiva!$G37/Preventiva!$F37</f>
        <v>#DIV/0!</v>
      </c>
    </row>
    <row r="38" ht="15.75" customHeight="1">
      <c r="B38" s="22">
        <v>35.0</v>
      </c>
      <c r="C38" s="52" t="s">
        <v>109</v>
      </c>
      <c r="D38" s="22" t="s">
        <v>57</v>
      </c>
      <c r="E38" s="22"/>
      <c r="F38" s="22"/>
      <c r="G38" s="22"/>
      <c r="H38" s="25" t="str">
        <f>Preventiva!$G38/Preventiva!$F38</f>
        <v>#DIV/0!</v>
      </c>
    </row>
    <row r="39" ht="15.75" customHeight="1">
      <c r="B39" s="22">
        <v>36.0</v>
      </c>
      <c r="C39" s="22" t="s">
        <v>110</v>
      </c>
      <c r="D39" s="22" t="s">
        <v>49</v>
      </c>
      <c r="E39" s="22"/>
      <c r="F39" s="22"/>
      <c r="G39" s="22"/>
      <c r="H39" s="25" t="str">
        <f>Preventiva!$G39/Preventiva!$F39</f>
        <v>#DIV/0!</v>
      </c>
    </row>
    <row r="40" ht="15.75" customHeight="1">
      <c r="B40" s="22">
        <v>37.0</v>
      </c>
      <c r="C40" s="22" t="s">
        <v>110</v>
      </c>
      <c r="D40" s="22" t="s">
        <v>50</v>
      </c>
      <c r="E40" s="22"/>
      <c r="F40" s="22"/>
      <c r="G40" s="22"/>
      <c r="H40" s="25" t="str">
        <f>Preventiva!$G40/Preventiva!$F40</f>
        <v>#DIV/0!</v>
      </c>
    </row>
    <row r="41" ht="15.75" customHeight="1">
      <c r="B41" s="22">
        <v>38.0</v>
      </c>
      <c r="C41" s="22" t="s">
        <v>110</v>
      </c>
      <c r="D41" s="22" t="s">
        <v>52</v>
      </c>
      <c r="E41" s="22"/>
      <c r="F41" s="22"/>
      <c r="G41" s="22"/>
      <c r="H41" s="25" t="str">
        <f>Preventiva!$G41/Preventiva!$F41</f>
        <v>#DIV/0!</v>
      </c>
    </row>
    <row r="42" ht="15.75" customHeight="1">
      <c r="B42" s="22">
        <v>39.0</v>
      </c>
      <c r="C42" s="22" t="s">
        <v>111</v>
      </c>
      <c r="D42" s="22" t="s">
        <v>49</v>
      </c>
      <c r="E42" s="22"/>
      <c r="F42" s="22"/>
      <c r="G42" s="22"/>
      <c r="H42" s="25" t="str">
        <f>Preventiva!$G42/Preventiva!$F42</f>
        <v>#DIV/0!</v>
      </c>
    </row>
    <row r="43" ht="15.75" customHeight="1">
      <c r="B43" s="22">
        <v>40.0</v>
      </c>
      <c r="C43" s="22" t="s">
        <v>111</v>
      </c>
      <c r="D43" s="22" t="s">
        <v>50</v>
      </c>
      <c r="E43" s="22"/>
      <c r="F43" s="22"/>
      <c r="G43" s="22"/>
      <c r="H43" s="25" t="str">
        <f>Preventiva!$G43/Preventiva!$F43</f>
        <v>#DIV/0!</v>
      </c>
    </row>
    <row r="44" ht="15.75" customHeight="1">
      <c r="B44" s="22">
        <v>41.0</v>
      </c>
      <c r="C44" s="22" t="s">
        <v>111</v>
      </c>
      <c r="D44" s="22" t="s">
        <v>51</v>
      </c>
      <c r="E44" s="22"/>
      <c r="F44" s="22"/>
      <c r="G44" s="22"/>
      <c r="H44" s="25" t="str">
        <f>Preventiva!$G44/Preventiva!$F44</f>
        <v>#DIV/0!</v>
      </c>
    </row>
    <row r="45" ht="15.75" customHeight="1">
      <c r="B45" s="22">
        <v>42.0</v>
      </c>
      <c r="C45" s="22" t="s">
        <v>111</v>
      </c>
      <c r="D45" s="22" t="s">
        <v>52</v>
      </c>
      <c r="E45" s="22"/>
      <c r="F45" s="22"/>
      <c r="G45" s="22"/>
      <c r="H45" s="25" t="str">
        <f>Preventiva!$G45/Preventiva!$F45</f>
        <v>#DIV/0!</v>
      </c>
    </row>
    <row r="46" ht="15.75" customHeight="1">
      <c r="B46" s="22">
        <v>43.0</v>
      </c>
      <c r="C46" s="22" t="s">
        <v>112</v>
      </c>
      <c r="D46" s="22" t="s">
        <v>67</v>
      </c>
      <c r="E46" s="22"/>
      <c r="F46" s="22"/>
      <c r="G46" s="22"/>
      <c r="H46" s="25" t="str">
        <f>Preventiva!$G46/Preventiva!$F46</f>
        <v>#DIV/0!</v>
      </c>
    </row>
    <row r="47" ht="15.75" customHeight="1">
      <c r="B47" s="22">
        <v>44.0</v>
      </c>
      <c r="C47" s="22" t="s">
        <v>113</v>
      </c>
      <c r="D47" s="22" t="s">
        <v>49</v>
      </c>
      <c r="E47" s="49"/>
      <c r="F47" s="49"/>
      <c r="G47" s="49"/>
      <c r="H47" s="25" t="str">
        <f>Preventiva!$G47/Preventiva!$F47</f>
        <v>#DIV/0!</v>
      </c>
    </row>
    <row r="48" ht="15.75" customHeight="1">
      <c r="B48" s="22">
        <v>45.0</v>
      </c>
      <c r="C48" s="22" t="s">
        <v>113</v>
      </c>
      <c r="D48" s="22" t="s">
        <v>50</v>
      </c>
      <c r="E48" s="49"/>
      <c r="F48" s="49"/>
      <c r="G48" s="49"/>
      <c r="H48" s="25" t="str">
        <f>Preventiva!$G48/Preventiva!$F48</f>
        <v>#DIV/0!</v>
      </c>
    </row>
    <row r="49" ht="15.75" customHeight="1">
      <c r="B49" s="22">
        <v>46.0</v>
      </c>
      <c r="C49" s="22" t="s">
        <v>113</v>
      </c>
      <c r="D49" s="22" t="s">
        <v>52</v>
      </c>
      <c r="E49" s="22"/>
      <c r="F49" s="22"/>
      <c r="G49" s="22"/>
      <c r="H49" s="25" t="str">
        <f>Preventiva!$G49/Preventiva!$F49</f>
        <v>#DIV/0!</v>
      </c>
    </row>
    <row r="50" ht="15.75" customHeight="1">
      <c r="B50" s="22">
        <v>47.0</v>
      </c>
      <c r="C50" s="22" t="s">
        <v>114</v>
      </c>
      <c r="D50" s="22" t="s">
        <v>49</v>
      </c>
      <c r="E50" s="49"/>
      <c r="F50" s="22"/>
      <c r="G50" s="22"/>
      <c r="H50" s="25" t="str">
        <f>Preventiva!$G50/Preventiva!$F50</f>
        <v>#DIV/0!</v>
      </c>
    </row>
    <row r="51" ht="15.75" customHeight="1">
      <c r="B51" s="22">
        <v>48.0</v>
      </c>
      <c r="C51" s="22" t="s">
        <v>114</v>
      </c>
      <c r="D51" s="22" t="s">
        <v>50</v>
      </c>
      <c r="E51" s="49"/>
      <c r="F51" s="49"/>
      <c r="G51" s="49"/>
      <c r="H51" s="25" t="str">
        <f>Preventiva!$G51/Preventiva!$F51</f>
        <v>#DIV/0!</v>
      </c>
    </row>
    <row r="52" ht="15.75" customHeight="1">
      <c r="B52" s="22">
        <v>49.0</v>
      </c>
      <c r="C52" s="22" t="s">
        <v>114</v>
      </c>
      <c r="D52" s="22" t="s">
        <v>52</v>
      </c>
      <c r="E52" s="22"/>
      <c r="F52" s="22"/>
      <c r="G52" s="22"/>
      <c r="H52" s="25" t="str">
        <f>Preventiva!$G52/Preventiva!$F52</f>
        <v>#DIV/0!</v>
      </c>
    </row>
    <row r="53" ht="15.75" customHeight="1">
      <c r="B53" s="22">
        <v>50.0</v>
      </c>
      <c r="C53" s="22" t="s">
        <v>115</v>
      </c>
      <c r="D53" s="22" t="s">
        <v>49</v>
      </c>
      <c r="E53" s="49"/>
      <c r="F53" s="49"/>
      <c r="G53" s="49"/>
      <c r="H53" s="25" t="str">
        <f>Preventiva!$G53/Preventiva!$F53</f>
        <v>#DIV/0!</v>
      </c>
    </row>
    <row r="54" ht="15.75" customHeight="1">
      <c r="B54" s="22">
        <v>51.0</v>
      </c>
      <c r="C54" s="52" t="s">
        <v>116</v>
      </c>
      <c r="D54" s="22" t="s">
        <v>57</v>
      </c>
      <c r="E54" s="22"/>
      <c r="F54" s="22"/>
      <c r="G54" s="22"/>
      <c r="H54" s="25" t="str">
        <f>Preventiva!$G54/Preventiva!$F54</f>
        <v>#DIV/0!</v>
      </c>
    </row>
    <row r="55" ht="15.75" customHeight="1">
      <c r="B55" s="22">
        <v>52.0</v>
      </c>
      <c r="C55" s="22" t="s">
        <v>115</v>
      </c>
      <c r="D55" s="22" t="s">
        <v>50</v>
      </c>
      <c r="E55" s="49"/>
      <c r="F55" s="49"/>
      <c r="G55" s="49"/>
      <c r="H55" s="25" t="str">
        <f>Preventiva!$G55/Preventiva!$F55</f>
        <v>#DIV/0!</v>
      </c>
    </row>
    <row r="56" ht="15.75" customHeight="1">
      <c r="B56" s="22">
        <v>53.0</v>
      </c>
      <c r="C56" s="22" t="s">
        <v>115</v>
      </c>
      <c r="D56" s="22" t="s">
        <v>101</v>
      </c>
      <c r="E56" s="22"/>
      <c r="F56" s="22"/>
      <c r="G56" s="22"/>
      <c r="H56" s="25" t="str">
        <f>Preventiva!$G56/Preventiva!$F56</f>
        <v>#DIV/0!</v>
      </c>
    </row>
    <row r="57" ht="15.75" customHeight="1">
      <c r="B57" s="22">
        <v>54.0</v>
      </c>
      <c r="C57" s="22" t="s">
        <v>115</v>
      </c>
      <c r="D57" s="22" t="s">
        <v>51</v>
      </c>
      <c r="E57" s="49"/>
      <c r="F57" s="22"/>
      <c r="G57" s="22"/>
      <c r="H57" s="25" t="str">
        <f>Preventiva!$G57/Preventiva!$F57</f>
        <v>#DIV/0!</v>
      </c>
    </row>
    <row r="58" ht="15.75" customHeight="1">
      <c r="B58" s="22">
        <v>55.0</v>
      </c>
      <c r="C58" s="22" t="s">
        <v>115</v>
      </c>
      <c r="D58" s="22" t="s">
        <v>102</v>
      </c>
      <c r="E58" s="49"/>
      <c r="F58" s="22"/>
      <c r="G58" s="22"/>
      <c r="H58" s="25" t="str">
        <f>Preventiva!$G58/Preventiva!$F58</f>
        <v>#DIV/0!</v>
      </c>
    </row>
    <row r="59" ht="15.75" customHeight="1">
      <c r="B59" s="22">
        <v>56.0</v>
      </c>
      <c r="C59" s="22" t="s">
        <v>115</v>
      </c>
      <c r="D59" s="22" t="s">
        <v>103</v>
      </c>
      <c r="E59" s="22"/>
      <c r="F59" s="22"/>
      <c r="G59" s="22"/>
      <c r="H59" s="25" t="str">
        <f>Preventiva!$G59/Preventiva!$F59</f>
        <v>#DIV/0!</v>
      </c>
    </row>
    <row r="60" ht="15.75" customHeight="1">
      <c r="B60" s="22">
        <v>57.0</v>
      </c>
      <c r="C60" s="22" t="s">
        <v>117</v>
      </c>
      <c r="D60" s="22" t="s">
        <v>49</v>
      </c>
      <c r="E60" s="49"/>
      <c r="F60" s="22"/>
      <c r="G60" s="22"/>
      <c r="H60" s="25" t="str">
        <f>Preventiva!$G60/Preventiva!$F60</f>
        <v>#DIV/0!</v>
      </c>
    </row>
    <row r="61" ht="15.75" customHeight="1">
      <c r="B61" s="22">
        <v>58.0</v>
      </c>
      <c r="C61" s="22" t="s">
        <v>117</v>
      </c>
      <c r="D61" s="22" t="s">
        <v>50</v>
      </c>
      <c r="E61" s="49"/>
      <c r="F61" s="22"/>
      <c r="G61" s="22"/>
      <c r="H61" s="25" t="str">
        <f>Preventiva!$G61/Preventiva!$F61</f>
        <v>#DIV/0!</v>
      </c>
    </row>
    <row r="62" ht="15.75" customHeight="1">
      <c r="B62" s="22">
        <v>59.0</v>
      </c>
      <c r="C62" s="22" t="s">
        <v>117</v>
      </c>
      <c r="D62" s="22" t="s">
        <v>51</v>
      </c>
      <c r="E62" s="49"/>
      <c r="F62" s="22"/>
      <c r="G62" s="22"/>
      <c r="H62" s="25" t="str">
        <f>Preventiva!$G62/Preventiva!$F62</f>
        <v>#DIV/0!</v>
      </c>
    </row>
    <row r="63" ht="15.75" customHeight="1">
      <c r="B63" s="22">
        <v>60.0</v>
      </c>
      <c r="C63" s="22" t="s">
        <v>117</v>
      </c>
      <c r="D63" s="22" t="s">
        <v>52</v>
      </c>
      <c r="E63" s="22"/>
      <c r="F63" s="22"/>
      <c r="G63" s="22"/>
      <c r="H63" s="25" t="str">
        <f>Preventiva!$G63/Preventiva!$F63</f>
        <v>#DIV/0!</v>
      </c>
    </row>
    <row r="64" ht="15.75" customHeight="1">
      <c r="B64" s="22">
        <v>61.0</v>
      </c>
      <c r="C64" s="22" t="s">
        <v>118</v>
      </c>
      <c r="D64" s="22" t="s">
        <v>49</v>
      </c>
      <c r="E64" s="49"/>
      <c r="F64" s="49"/>
      <c r="G64" s="49"/>
      <c r="H64" s="25" t="str">
        <f>Preventiva!$G64/Preventiva!$F64</f>
        <v>#DIV/0!</v>
      </c>
    </row>
    <row r="65" ht="15.75" customHeight="1">
      <c r="B65" s="22">
        <v>62.0</v>
      </c>
      <c r="C65" s="22" t="s">
        <v>118</v>
      </c>
      <c r="D65" s="22" t="s">
        <v>50</v>
      </c>
      <c r="E65" s="49"/>
      <c r="F65" s="22"/>
      <c r="G65" s="22"/>
      <c r="H65" s="25" t="str">
        <f>Preventiva!$G65/Preventiva!$F65</f>
        <v>#DIV/0!</v>
      </c>
    </row>
    <row r="66" ht="15.75" customHeight="1">
      <c r="B66" s="22">
        <v>63.0</v>
      </c>
      <c r="C66" s="22" t="s">
        <v>118</v>
      </c>
      <c r="D66" s="22" t="s">
        <v>51</v>
      </c>
      <c r="E66" s="22"/>
      <c r="F66" s="22"/>
      <c r="G66" s="22"/>
      <c r="H66" s="25" t="str">
        <f>Preventiva!$G66/Preventiva!$F66</f>
        <v>#DIV/0!</v>
      </c>
    </row>
    <row r="67" ht="15.75" customHeight="1">
      <c r="B67" s="22">
        <v>64.0</v>
      </c>
      <c r="C67" s="22" t="s">
        <v>118</v>
      </c>
      <c r="D67" s="22" t="s">
        <v>101</v>
      </c>
      <c r="E67" s="22"/>
      <c r="F67" s="22"/>
      <c r="G67" s="22"/>
      <c r="H67" s="25" t="str">
        <f>Preventiva!$G67/Preventiva!$F67</f>
        <v>#DIV/0!</v>
      </c>
    </row>
    <row r="68" ht="15.75" customHeight="1">
      <c r="B68" s="22">
        <v>65.0</v>
      </c>
      <c r="C68" s="22" t="s">
        <v>118</v>
      </c>
      <c r="D68" s="22" t="s">
        <v>102</v>
      </c>
      <c r="E68" s="22"/>
      <c r="F68" s="22"/>
      <c r="G68" s="22"/>
      <c r="H68" s="25" t="str">
        <f>Preventiva!$G68/Preventiva!$F68</f>
        <v>#DIV/0!</v>
      </c>
    </row>
    <row r="69" ht="15.75" customHeight="1">
      <c r="B69" s="22">
        <v>66.0</v>
      </c>
      <c r="C69" s="22" t="s">
        <v>118</v>
      </c>
      <c r="D69" s="22" t="s">
        <v>119</v>
      </c>
      <c r="E69" s="22"/>
      <c r="F69" s="22"/>
      <c r="G69" s="22"/>
      <c r="H69" s="25" t="str">
        <f>Preventiva!$G69/Preventiva!$F69</f>
        <v>#DIV/0!</v>
      </c>
    </row>
    <row r="70" ht="15.75" customHeight="1">
      <c r="B70" s="22">
        <v>67.0</v>
      </c>
      <c r="C70" s="22" t="s">
        <v>118</v>
      </c>
      <c r="D70" s="22" t="s">
        <v>103</v>
      </c>
      <c r="E70" s="22"/>
      <c r="F70" s="22"/>
      <c r="G70" s="22"/>
      <c r="H70" s="25" t="str">
        <f>Preventiva!$G70/Preventiva!$F70</f>
        <v>#DIV/0!</v>
      </c>
    </row>
    <row r="71" ht="15.75" customHeight="1">
      <c r="B71" s="22">
        <v>68.0</v>
      </c>
      <c r="C71" s="22" t="s">
        <v>120</v>
      </c>
      <c r="D71" s="22" t="s">
        <v>49</v>
      </c>
      <c r="E71" s="22"/>
      <c r="F71" s="22"/>
      <c r="G71" s="22"/>
      <c r="H71" s="25" t="str">
        <f>Preventiva!$G71/Preventiva!$F71</f>
        <v>#DIV/0!</v>
      </c>
    </row>
    <row r="72" ht="21.75" customHeight="1">
      <c r="B72" s="22">
        <v>69.0</v>
      </c>
      <c r="C72" s="22" t="s">
        <v>120</v>
      </c>
      <c r="D72" s="22" t="s">
        <v>50</v>
      </c>
      <c r="E72" s="22"/>
      <c r="F72" s="22"/>
      <c r="G72" s="22"/>
      <c r="H72" s="25" t="str">
        <f>Preventiva!$G72/Preventiva!$F72</f>
        <v>#DIV/0!</v>
      </c>
    </row>
    <row r="73" ht="15.75" customHeight="1">
      <c r="B73" s="22">
        <v>70.0</v>
      </c>
      <c r="C73" s="52" t="s">
        <v>121</v>
      </c>
      <c r="D73" s="22" t="s">
        <v>57</v>
      </c>
      <c r="E73" s="22"/>
      <c r="F73" s="22"/>
      <c r="G73" s="22"/>
      <c r="H73" s="25" t="str">
        <f>Preventiva!$G73/Preventiva!$F73</f>
        <v>#DIV/0!</v>
      </c>
    </row>
    <row r="74" ht="15.75" customHeight="1">
      <c r="B74" s="22">
        <v>71.0</v>
      </c>
      <c r="C74" s="22" t="s">
        <v>120</v>
      </c>
      <c r="D74" s="22" t="s">
        <v>51</v>
      </c>
      <c r="E74" s="22"/>
      <c r="F74" s="22"/>
      <c r="G74" s="22"/>
      <c r="H74" s="25" t="str">
        <f>Preventiva!$G74/Preventiva!$F74</f>
        <v>#DIV/0!</v>
      </c>
    </row>
    <row r="75" ht="21.75" customHeight="1">
      <c r="B75" s="22">
        <v>72.0</v>
      </c>
      <c r="C75" s="22" t="s">
        <v>120</v>
      </c>
      <c r="D75" s="22" t="s">
        <v>52</v>
      </c>
      <c r="E75" s="22"/>
      <c r="F75" s="22"/>
      <c r="G75" s="22"/>
      <c r="H75" s="25" t="str">
        <f>Preventiva!$G75/Preventiva!$F75</f>
        <v>#DIV/0!</v>
      </c>
    </row>
    <row r="76" ht="15.75" customHeight="1">
      <c r="B76" s="22">
        <v>73.0</v>
      </c>
      <c r="C76" s="22" t="s">
        <v>122</v>
      </c>
      <c r="D76" s="22" t="s">
        <v>49</v>
      </c>
      <c r="E76" s="49"/>
      <c r="F76" s="49"/>
      <c r="G76" s="49"/>
      <c r="H76" s="25" t="str">
        <f>Preventiva!$G76/Preventiva!$F76</f>
        <v>#DIV/0!</v>
      </c>
    </row>
    <row r="77" ht="15.75" customHeight="1">
      <c r="B77" s="22">
        <v>74.0</v>
      </c>
      <c r="C77" s="22" t="s">
        <v>122</v>
      </c>
      <c r="D77" s="22" t="s">
        <v>50</v>
      </c>
      <c r="E77" s="22"/>
      <c r="F77" s="22"/>
      <c r="G77" s="22"/>
      <c r="H77" s="25" t="str">
        <f>Preventiva!$G77/Preventiva!$F77</f>
        <v>#DIV/0!</v>
      </c>
    </row>
    <row r="78" ht="23.25" customHeight="1">
      <c r="B78" s="22">
        <v>75.0</v>
      </c>
      <c r="C78" s="22" t="s">
        <v>122</v>
      </c>
      <c r="D78" s="22" t="s">
        <v>52</v>
      </c>
      <c r="E78" s="22"/>
      <c r="F78" s="22"/>
      <c r="G78" s="22"/>
      <c r="H78" s="25" t="str">
        <f>Preventiva!$G78/Preventiva!$F78</f>
        <v>#DIV/0!</v>
      </c>
    </row>
    <row r="79" ht="20.25" customHeight="1">
      <c r="B79" s="22">
        <v>76.0</v>
      </c>
      <c r="C79" s="52" t="s">
        <v>123</v>
      </c>
      <c r="D79" s="22" t="s">
        <v>49</v>
      </c>
      <c r="E79" s="22"/>
      <c r="F79" s="22"/>
      <c r="G79" s="22"/>
      <c r="H79" s="25" t="str">
        <f>Preventiva!$G79/Preventiva!$F79</f>
        <v>#DIV/0!</v>
      </c>
    </row>
    <row r="80" ht="15.75" customHeight="1">
      <c r="B80" s="22">
        <v>77.0</v>
      </c>
      <c r="C80" s="52" t="s">
        <v>123</v>
      </c>
      <c r="D80" s="22" t="s">
        <v>50</v>
      </c>
      <c r="E80" s="22"/>
      <c r="F80" s="22"/>
      <c r="G80" s="22"/>
      <c r="H80" s="25" t="str">
        <f>Preventiva!$G80/Preventiva!$F80</f>
        <v>#DIV/0!</v>
      </c>
    </row>
    <row r="81" ht="15.75" customHeight="1">
      <c r="B81" s="22">
        <v>78.0</v>
      </c>
      <c r="C81" s="52" t="s">
        <v>123</v>
      </c>
      <c r="D81" s="22" t="s">
        <v>52</v>
      </c>
      <c r="E81" s="22"/>
      <c r="F81" s="22"/>
      <c r="G81" s="22"/>
      <c r="H81" s="25" t="str">
        <f>Preventiva!$G81/Preventiva!$F81</f>
        <v>#DIV/0!</v>
      </c>
    </row>
    <row r="82" ht="15.75" customHeight="1">
      <c r="B82" s="22">
        <v>79.0</v>
      </c>
      <c r="C82" s="52" t="s">
        <v>124</v>
      </c>
      <c r="D82" s="22" t="s">
        <v>57</v>
      </c>
      <c r="E82" s="22"/>
      <c r="F82" s="22"/>
      <c r="G82" s="22"/>
      <c r="H82" s="25" t="str">
        <f>Preventiva!$G82/Preventiva!$F82</f>
        <v>#DIV/0!</v>
      </c>
    </row>
    <row r="83" ht="15.75" customHeight="1">
      <c r="B83" s="22">
        <v>80.0</v>
      </c>
      <c r="C83" s="22" t="s">
        <v>125</v>
      </c>
      <c r="D83" s="22" t="s">
        <v>49</v>
      </c>
      <c r="E83" s="22"/>
      <c r="F83" s="22"/>
      <c r="G83" s="22"/>
      <c r="H83" s="25" t="str">
        <f>Preventiva!$G83/Preventiva!$F83</f>
        <v>#DIV/0!</v>
      </c>
    </row>
    <row r="84" ht="15.75" customHeight="1">
      <c r="B84" s="22">
        <v>81.0</v>
      </c>
      <c r="C84" s="22" t="s">
        <v>125</v>
      </c>
      <c r="D84" s="22" t="s">
        <v>50</v>
      </c>
      <c r="E84" s="22"/>
      <c r="F84" s="22"/>
      <c r="G84" s="22"/>
      <c r="H84" s="25" t="str">
        <f>Preventiva!$G84/Preventiva!$F84</f>
        <v>#DIV/0!</v>
      </c>
    </row>
    <row r="85" ht="15.75" customHeight="1">
      <c r="B85" s="22">
        <v>82.0</v>
      </c>
      <c r="C85" s="22" t="s">
        <v>125</v>
      </c>
      <c r="D85" s="22" t="s">
        <v>52</v>
      </c>
      <c r="E85" s="22"/>
      <c r="F85" s="22"/>
      <c r="G85" s="22"/>
      <c r="H85" s="25" t="str">
        <f>Preventiva!$G85/Preventiva!$F85</f>
        <v>#DIV/0!</v>
      </c>
    </row>
    <row r="86" ht="15.75" customHeight="1">
      <c r="B86" s="22">
        <v>83.0</v>
      </c>
      <c r="C86" s="22" t="s">
        <v>126</v>
      </c>
      <c r="D86" s="22" t="s">
        <v>67</v>
      </c>
      <c r="E86" s="22"/>
      <c r="F86" s="22"/>
      <c r="G86" s="22"/>
      <c r="H86" s="25" t="str">
        <f>Preventiva!$G86/Preventiva!$F86</f>
        <v>#DIV/0!</v>
      </c>
    </row>
    <row r="87" ht="15.75" customHeight="1">
      <c r="B87" s="22">
        <v>84.0</v>
      </c>
      <c r="C87" s="22" t="s">
        <v>126</v>
      </c>
      <c r="D87" s="22" t="s">
        <v>52</v>
      </c>
      <c r="E87" s="22"/>
      <c r="F87" s="22"/>
      <c r="G87" s="22"/>
      <c r="H87" s="25" t="str">
        <f>Preventiva!$G87/Preventiva!$F87</f>
        <v>#DIV/0!</v>
      </c>
    </row>
    <row r="88" ht="15.75" customHeight="1">
      <c r="B88" s="22">
        <v>85.0</v>
      </c>
      <c r="C88" s="22" t="s">
        <v>127</v>
      </c>
      <c r="D88" s="22" t="s">
        <v>67</v>
      </c>
      <c r="E88" s="22"/>
      <c r="F88" s="22"/>
      <c r="G88" s="22"/>
      <c r="H88" s="25" t="str">
        <f>Preventiva!$G88/Preventiva!$F88</f>
        <v>#DIV/0!</v>
      </c>
    </row>
    <row r="89" ht="15.75" customHeight="1">
      <c r="B89" s="22">
        <v>86.0</v>
      </c>
      <c r="C89" s="22" t="s">
        <v>127</v>
      </c>
      <c r="D89" s="22" t="s">
        <v>52</v>
      </c>
      <c r="E89" s="22"/>
      <c r="F89" s="22"/>
      <c r="G89" s="22"/>
      <c r="H89" s="25" t="str">
        <f>Preventiva!$G89/Preventiva!$F89</f>
        <v>#DIV/0!</v>
      </c>
    </row>
    <row r="90" ht="15.75" customHeight="1">
      <c r="B90" s="22">
        <v>87.0</v>
      </c>
      <c r="C90" s="52" t="s">
        <v>128</v>
      </c>
      <c r="D90" s="22" t="s">
        <v>57</v>
      </c>
      <c r="E90" s="22"/>
      <c r="F90" s="22"/>
      <c r="G90" s="22"/>
      <c r="H90" s="25" t="str">
        <f>Preventiva!$G90/Preventiva!$F90</f>
        <v>#DIV/0!</v>
      </c>
    </row>
    <row r="91" ht="15.75" customHeight="1">
      <c r="B91" s="9" t="s">
        <v>28</v>
      </c>
      <c r="C91" s="54"/>
      <c r="D91" s="54"/>
      <c r="E91" s="22">
        <f>COUNTA(E4:E90)</f>
        <v>8</v>
      </c>
      <c r="F91" s="22">
        <f t="shared" ref="F91:G91" si="1">SUM(F4:F90)</f>
        <v>309</v>
      </c>
      <c r="G91" s="22">
        <f t="shared" si="1"/>
        <v>241</v>
      </c>
      <c r="H91" s="25">
        <f>Preventiva!$G91/Preventiva!$F91</f>
        <v>0.7799352751</v>
      </c>
    </row>
    <row r="92" ht="15.75" customHeight="1">
      <c r="B92" s="55"/>
      <c r="C92" s="55"/>
      <c r="D92" s="55"/>
      <c r="E92" s="55"/>
      <c r="F92" s="55"/>
      <c r="G92" s="55"/>
      <c r="H92" s="55"/>
    </row>
    <row r="93" ht="15.75" customHeight="1">
      <c r="B93" s="55"/>
      <c r="C93" s="55"/>
      <c r="D93" s="55"/>
      <c r="E93" s="55"/>
      <c r="F93" s="55"/>
      <c r="G93" s="55"/>
      <c r="H93" s="55"/>
    </row>
    <row r="94" ht="15.75" customHeight="1">
      <c r="B94" s="55"/>
      <c r="C94" s="55"/>
      <c r="D94" s="55"/>
      <c r="E94" s="55"/>
      <c r="F94" s="55"/>
      <c r="G94" s="55"/>
      <c r="H94" s="55"/>
    </row>
    <row r="95" ht="15.75" customHeight="1">
      <c r="B95" s="55"/>
      <c r="C95" s="55"/>
      <c r="D95" s="55"/>
      <c r="E95" s="55"/>
      <c r="F95" s="55"/>
      <c r="G95" s="55"/>
      <c r="H95" s="55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9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Clique e digite um valor do intervalo" sqref="E5">
      <formula1>$A$1:$A$2</formula1>
    </dataValidation>
    <dataValidation type="list" allowBlank="1" showInputMessage="1" showErrorMessage="1" prompt="Tarefa Realizada? - Click em &quot;Sim&quot; ao realizar toda a Tarefa correspondente!" sqref="E4 E6:E9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3.86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129</v>
      </c>
      <c r="D4" s="22" t="s">
        <v>49</v>
      </c>
      <c r="E4" s="49"/>
      <c r="F4" s="49"/>
      <c r="G4" s="49"/>
      <c r="H4" s="25" t="str">
        <f>Cirurgia!$G4/Cirurgia!$F4</f>
        <v>#DIV/0!</v>
      </c>
    </row>
    <row r="5">
      <c r="B5" s="22">
        <v>2.0</v>
      </c>
      <c r="C5" s="22" t="s">
        <v>129</v>
      </c>
      <c r="D5" s="22" t="s">
        <v>50</v>
      </c>
      <c r="E5" s="49"/>
      <c r="F5" s="49"/>
      <c r="G5" s="49"/>
      <c r="H5" s="25" t="str">
        <f>Cirurgia!$G5/Cirurgia!$F5</f>
        <v>#DIV/0!</v>
      </c>
      <c r="I5" s="50"/>
      <c r="J5" s="50"/>
    </row>
    <row r="6">
      <c r="B6" s="22">
        <v>3.0</v>
      </c>
      <c r="C6" s="22" t="s">
        <v>129</v>
      </c>
      <c r="D6" s="22" t="s">
        <v>52</v>
      </c>
      <c r="E6" s="49"/>
      <c r="F6" s="49"/>
      <c r="G6" s="49"/>
      <c r="H6" s="25" t="str">
        <f>Cirurgia!$G6/Cirurgia!$F6</f>
        <v>#DIV/0!</v>
      </c>
    </row>
    <row r="7" ht="24.0" customHeight="1">
      <c r="B7" s="22">
        <v>4.0</v>
      </c>
      <c r="C7" s="22" t="s">
        <v>130</v>
      </c>
      <c r="D7" s="22" t="s">
        <v>49</v>
      </c>
      <c r="E7" s="49"/>
      <c r="F7" s="49"/>
      <c r="G7" s="49"/>
      <c r="H7" s="25" t="str">
        <f>Cirurgia!$G7/Cirurgia!$F7</f>
        <v>#DIV/0!</v>
      </c>
    </row>
    <row r="8">
      <c r="B8" s="22">
        <v>5.0</v>
      </c>
      <c r="C8" s="22" t="s">
        <v>130</v>
      </c>
      <c r="D8" s="22" t="s">
        <v>50</v>
      </c>
      <c r="E8" s="49"/>
      <c r="F8" s="49"/>
      <c r="G8" s="49"/>
      <c r="H8" s="25" t="str">
        <f>Cirurgia!$G8/Cirurgia!$F8</f>
        <v>#DIV/0!</v>
      </c>
    </row>
    <row r="9">
      <c r="B9" s="22">
        <v>6.0</v>
      </c>
      <c r="C9" s="22" t="s">
        <v>130</v>
      </c>
      <c r="D9" s="22" t="s">
        <v>52</v>
      </c>
      <c r="E9" s="22"/>
      <c r="F9" s="22"/>
      <c r="G9" s="22"/>
      <c r="H9" s="25" t="str">
        <f>Cirurgia!$G9/Cirurgia!$F9</f>
        <v>#DIV/0!</v>
      </c>
    </row>
    <row r="10">
      <c r="B10" s="22">
        <v>7.0</v>
      </c>
      <c r="C10" s="22" t="s">
        <v>131</v>
      </c>
      <c r="D10" s="22" t="s">
        <v>49</v>
      </c>
      <c r="E10" s="22"/>
      <c r="F10" s="22"/>
      <c r="G10" s="22"/>
      <c r="H10" s="25" t="str">
        <f>Cirurgia!$G10/Cirurgia!$F10</f>
        <v>#DIV/0!</v>
      </c>
    </row>
    <row r="11">
      <c r="B11" s="22">
        <v>8.0</v>
      </c>
      <c r="C11" s="22" t="s">
        <v>131</v>
      </c>
      <c r="D11" s="22" t="s">
        <v>50</v>
      </c>
      <c r="E11" s="22"/>
      <c r="F11" s="22"/>
      <c r="G11" s="22"/>
      <c r="H11" s="25" t="str">
        <f>Cirurgia!$G11/Cirurgia!$F11</f>
        <v>#DIV/0!</v>
      </c>
    </row>
    <row r="12">
      <c r="B12" s="22">
        <v>9.0</v>
      </c>
      <c r="C12" s="22" t="s">
        <v>131</v>
      </c>
      <c r="D12" s="22" t="s">
        <v>52</v>
      </c>
      <c r="E12" s="22"/>
      <c r="F12" s="22"/>
      <c r="G12" s="22"/>
      <c r="H12" s="25" t="str">
        <f>Cirurgia!$G12/Cirurgia!$F12</f>
        <v>#DIV/0!</v>
      </c>
    </row>
    <row r="13">
      <c r="B13" s="53">
        <v>10.0</v>
      </c>
      <c r="C13" s="52" t="s">
        <v>132</v>
      </c>
      <c r="D13" s="22" t="s">
        <v>57</v>
      </c>
      <c r="E13" s="22"/>
      <c r="F13" s="22"/>
      <c r="G13" s="22"/>
      <c r="H13" s="25" t="str">
        <f>Cirurgia!$G13/Cirurgia!$F13</f>
        <v>#DIV/0!</v>
      </c>
    </row>
    <row r="14">
      <c r="B14" s="53">
        <v>11.0</v>
      </c>
      <c r="C14" s="22" t="s">
        <v>133</v>
      </c>
      <c r="D14" s="22" t="s">
        <v>49</v>
      </c>
      <c r="E14" s="53" t="s">
        <v>40</v>
      </c>
      <c r="F14" s="53">
        <v>27.0</v>
      </c>
      <c r="G14" s="53">
        <v>21.0</v>
      </c>
      <c r="H14" s="25">
        <f>Cirurgia!$G14/Cirurgia!$F14</f>
        <v>0.7777777778</v>
      </c>
    </row>
    <row r="15">
      <c r="B15" s="22">
        <v>12.0</v>
      </c>
      <c r="C15" s="22" t="s">
        <v>133</v>
      </c>
      <c r="D15" s="22" t="s">
        <v>50</v>
      </c>
      <c r="E15" s="53" t="s">
        <v>40</v>
      </c>
      <c r="F15" s="53">
        <v>30.0</v>
      </c>
      <c r="G15" s="53">
        <v>21.0</v>
      </c>
      <c r="H15" s="25">
        <f>Cirurgia!$G15/Cirurgia!$F15</f>
        <v>0.7</v>
      </c>
    </row>
    <row r="16">
      <c r="B16" s="22">
        <v>13.0</v>
      </c>
      <c r="C16" s="22" t="s">
        <v>133</v>
      </c>
      <c r="D16" s="22" t="s">
        <v>52</v>
      </c>
      <c r="E16" s="49"/>
      <c r="F16" s="53">
        <v>42.0</v>
      </c>
      <c r="G16" s="53">
        <v>31.0</v>
      </c>
      <c r="H16" s="25">
        <f>Cirurgia!$G16/Cirurgia!$F16</f>
        <v>0.7380952381</v>
      </c>
    </row>
    <row r="17">
      <c r="B17" s="22">
        <v>14.0</v>
      </c>
      <c r="C17" s="52" t="s">
        <v>134</v>
      </c>
      <c r="D17" s="22" t="s">
        <v>49</v>
      </c>
      <c r="E17" s="53" t="s">
        <v>40</v>
      </c>
      <c r="F17" s="53">
        <v>39.0</v>
      </c>
      <c r="G17" s="53">
        <v>33.0</v>
      </c>
      <c r="H17" s="25">
        <f>Cirurgia!$G17/Cirurgia!$F17</f>
        <v>0.8461538462</v>
      </c>
    </row>
    <row r="18">
      <c r="B18" s="22">
        <v>15.0</v>
      </c>
      <c r="C18" s="52" t="s">
        <v>134</v>
      </c>
      <c r="D18" s="22" t="s">
        <v>50</v>
      </c>
      <c r="E18" s="53" t="s">
        <v>40</v>
      </c>
      <c r="F18" s="53">
        <v>17.0</v>
      </c>
      <c r="G18" s="53">
        <v>13.0</v>
      </c>
      <c r="H18" s="25">
        <f>Cirurgia!$G18/Cirurgia!$F18</f>
        <v>0.7647058824</v>
      </c>
    </row>
    <row r="19">
      <c r="B19" s="22">
        <v>16.0</v>
      </c>
      <c r="C19" s="52" t="s">
        <v>134</v>
      </c>
      <c r="D19" s="22" t="s">
        <v>52</v>
      </c>
      <c r="E19" s="53" t="s">
        <v>40</v>
      </c>
      <c r="F19" s="53">
        <v>35.0</v>
      </c>
      <c r="G19" s="53">
        <v>30.0</v>
      </c>
      <c r="H19" s="25">
        <f>Cirurgia!$G19/Cirurgia!$F19</f>
        <v>0.8571428571</v>
      </c>
    </row>
    <row r="20">
      <c r="B20" s="22">
        <v>17.0</v>
      </c>
      <c r="C20" s="22" t="s">
        <v>135</v>
      </c>
      <c r="D20" s="22" t="s">
        <v>49</v>
      </c>
      <c r="E20" s="49"/>
      <c r="F20" s="49"/>
      <c r="G20" s="49"/>
      <c r="H20" s="25" t="str">
        <f>Cirurgia!$G20/Cirurgia!$F20</f>
        <v>#DIV/0!</v>
      </c>
    </row>
    <row r="21" ht="15.75" customHeight="1">
      <c r="B21" s="22">
        <v>18.0</v>
      </c>
      <c r="C21" s="22" t="s">
        <v>135</v>
      </c>
      <c r="D21" s="22" t="s">
        <v>50</v>
      </c>
      <c r="E21" s="22"/>
      <c r="F21" s="22"/>
      <c r="G21" s="22"/>
      <c r="H21" s="25" t="str">
        <f>Cirurgia!$G21/Cirurgia!$F21</f>
        <v>#DIV/0!</v>
      </c>
    </row>
    <row r="22" ht="15.75" customHeight="1">
      <c r="B22" s="22">
        <v>19.0</v>
      </c>
      <c r="C22" s="22" t="s">
        <v>135</v>
      </c>
      <c r="D22" s="22" t="s">
        <v>51</v>
      </c>
      <c r="E22" s="22"/>
      <c r="F22" s="22"/>
      <c r="G22" s="22"/>
      <c r="H22" s="25" t="str">
        <f>Cirurgia!$G22/Cirurgia!$F22</f>
        <v>#DIV/0!</v>
      </c>
    </row>
    <row r="23" ht="15.75" customHeight="1">
      <c r="B23" s="22">
        <v>20.0</v>
      </c>
      <c r="C23" s="22" t="s">
        <v>135</v>
      </c>
      <c r="D23" s="22" t="s">
        <v>101</v>
      </c>
      <c r="E23" s="22"/>
      <c r="F23" s="22"/>
      <c r="G23" s="22"/>
      <c r="H23" s="25" t="str">
        <f>Cirurgia!$G23/Cirurgia!$F23</f>
        <v>#DIV/0!</v>
      </c>
    </row>
    <row r="24" ht="15.75" customHeight="1">
      <c r="B24" s="22">
        <v>21.0</v>
      </c>
      <c r="C24" s="22" t="s">
        <v>135</v>
      </c>
      <c r="D24" s="22" t="s">
        <v>102</v>
      </c>
      <c r="E24" s="22"/>
      <c r="F24" s="22"/>
      <c r="G24" s="22"/>
      <c r="H24" s="25" t="str">
        <f>Cirurgia!$G24/Cirurgia!$F24</f>
        <v>#DIV/0!</v>
      </c>
    </row>
    <row r="25" ht="15.75" customHeight="1">
      <c r="B25" s="22">
        <v>22.0</v>
      </c>
      <c r="C25" s="22" t="s">
        <v>135</v>
      </c>
      <c r="D25" s="22" t="s">
        <v>119</v>
      </c>
      <c r="E25" s="22"/>
      <c r="F25" s="22"/>
      <c r="G25" s="22"/>
      <c r="H25" s="25" t="str">
        <f>Cirurgia!$G25/Cirurgia!$F25</f>
        <v>#DIV/0!</v>
      </c>
    </row>
    <row r="26" ht="15.75" customHeight="1">
      <c r="B26" s="22">
        <v>23.0</v>
      </c>
      <c r="C26" s="52" t="s">
        <v>135</v>
      </c>
      <c r="D26" s="22" t="s">
        <v>52</v>
      </c>
      <c r="E26" s="22"/>
      <c r="F26" s="22"/>
      <c r="G26" s="22"/>
      <c r="H26" s="25" t="str">
        <f>Cirurgia!$G26/Cirurgia!$F26</f>
        <v>#DIV/0!</v>
      </c>
    </row>
    <row r="27" ht="15.75" customHeight="1">
      <c r="B27" s="22">
        <v>24.0</v>
      </c>
      <c r="C27" s="52" t="s">
        <v>136</v>
      </c>
      <c r="D27" s="22" t="s">
        <v>57</v>
      </c>
      <c r="E27" s="22"/>
      <c r="F27" s="22"/>
      <c r="G27" s="22"/>
      <c r="H27" s="25" t="str">
        <f>Cirurgia!$G27/Cirurgia!$F27</f>
        <v>#DIV/0!</v>
      </c>
    </row>
    <row r="28" ht="15.75" customHeight="1">
      <c r="B28" s="22">
        <v>25.0</v>
      </c>
      <c r="C28" s="22" t="s">
        <v>137</v>
      </c>
      <c r="D28" s="22" t="s">
        <v>49</v>
      </c>
      <c r="E28" s="22"/>
      <c r="F28" s="22"/>
      <c r="G28" s="22"/>
      <c r="H28" s="25" t="str">
        <f>Cirurgia!$G28/Cirurgia!$F28</f>
        <v>#DIV/0!</v>
      </c>
    </row>
    <row r="29" ht="15.75" customHeight="1">
      <c r="B29" s="22">
        <v>26.0</v>
      </c>
      <c r="C29" s="22" t="s">
        <v>137</v>
      </c>
      <c r="D29" s="22" t="s">
        <v>50</v>
      </c>
      <c r="E29" s="22"/>
      <c r="F29" s="22"/>
      <c r="G29" s="22"/>
      <c r="H29" s="25" t="str">
        <f>Cirurgia!$G29/Cirurgia!$F29</f>
        <v>#DIV/0!</v>
      </c>
    </row>
    <row r="30" ht="15.75" customHeight="1">
      <c r="B30" s="22">
        <v>27.0</v>
      </c>
      <c r="C30" s="22" t="s">
        <v>137</v>
      </c>
      <c r="D30" s="22" t="s">
        <v>52</v>
      </c>
      <c r="E30" s="22"/>
      <c r="F30" s="22"/>
      <c r="G30" s="22"/>
      <c r="H30" s="25" t="str">
        <f>Cirurgia!$G30/Cirurgia!$F30</f>
        <v>#DIV/0!</v>
      </c>
    </row>
    <row r="31" ht="15.75" customHeight="1">
      <c r="B31" s="22">
        <v>28.0</v>
      </c>
      <c r="C31" s="22" t="s">
        <v>138</v>
      </c>
      <c r="D31" s="22" t="s">
        <v>49</v>
      </c>
      <c r="E31" s="22"/>
      <c r="F31" s="22"/>
      <c r="G31" s="22"/>
      <c r="H31" s="25" t="str">
        <f>Cirurgia!$G31/Cirurgia!$F31</f>
        <v>#DIV/0!</v>
      </c>
    </row>
    <row r="32" ht="15.75" customHeight="1">
      <c r="B32" s="22">
        <v>29.0</v>
      </c>
      <c r="C32" s="22" t="s">
        <v>138</v>
      </c>
      <c r="D32" s="22" t="s">
        <v>50</v>
      </c>
      <c r="E32" s="22"/>
      <c r="F32" s="22"/>
      <c r="G32" s="22"/>
      <c r="H32" s="25" t="str">
        <f>Cirurgia!$G32/Cirurgia!$F32</f>
        <v>#DIV/0!</v>
      </c>
    </row>
    <row r="33" ht="15.75" customHeight="1">
      <c r="B33" s="22">
        <v>30.0</v>
      </c>
      <c r="C33" s="22" t="s">
        <v>138</v>
      </c>
      <c r="D33" s="22" t="s">
        <v>52</v>
      </c>
      <c r="E33" s="22"/>
      <c r="F33" s="22"/>
      <c r="G33" s="22"/>
      <c r="H33" s="25" t="str">
        <f>Cirurgia!$G33/Cirurgia!$F33</f>
        <v>#DIV/0!</v>
      </c>
    </row>
    <row r="34" ht="15.75" customHeight="1">
      <c r="B34" s="22">
        <v>31.0</v>
      </c>
      <c r="C34" s="52" t="s">
        <v>139</v>
      </c>
      <c r="D34" s="22" t="s">
        <v>140</v>
      </c>
      <c r="E34" s="22"/>
      <c r="F34" s="22"/>
      <c r="G34" s="22"/>
      <c r="H34" s="25" t="str">
        <f>Cirurgia!$G34/Cirurgia!$F34</f>
        <v>#DIV/0!</v>
      </c>
    </row>
    <row r="35" ht="15.75" customHeight="1">
      <c r="B35" s="22">
        <v>32.0</v>
      </c>
      <c r="C35" s="52" t="s">
        <v>139</v>
      </c>
      <c r="D35" s="22" t="s">
        <v>52</v>
      </c>
      <c r="E35" s="22"/>
      <c r="F35" s="22"/>
      <c r="G35" s="22"/>
      <c r="H35" s="25" t="str">
        <f>Cirurgia!$G35/Cirurgia!$F35</f>
        <v>#DIV/0!</v>
      </c>
    </row>
    <row r="36" ht="15.75" customHeight="1">
      <c r="B36" s="22">
        <v>33.0</v>
      </c>
      <c r="C36" s="52" t="s">
        <v>141</v>
      </c>
      <c r="D36" s="22" t="s">
        <v>57</v>
      </c>
      <c r="E36" s="22"/>
      <c r="F36" s="22"/>
      <c r="G36" s="22"/>
      <c r="H36" s="25" t="str">
        <f>Cirurgia!$G36/Cirurgia!$F36</f>
        <v>#DIV/0!</v>
      </c>
    </row>
    <row r="37" ht="15.75" customHeight="1">
      <c r="B37" s="22">
        <v>34.0</v>
      </c>
      <c r="C37" s="22" t="s">
        <v>142</v>
      </c>
      <c r="D37" s="22" t="s">
        <v>49</v>
      </c>
      <c r="E37" s="22"/>
      <c r="F37" s="22"/>
      <c r="G37" s="22"/>
      <c r="H37" s="25" t="str">
        <f>Cirurgia!$G37/Cirurgia!$F37</f>
        <v>#DIV/0!</v>
      </c>
    </row>
    <row r="38" ht="15.75" customHeight="1">
      <c r="B38" s="22">
        <v>35.0</v>
      </c>
      <c r="C38" s="22" t="s">
        <v>142</v>
      </c>
      <c r="D38" s="22" t="s">
        <v>50</v>
      </c>
      <c r="E38" s="22"/>
      <c r="F38" s="22"/>
      <c r="G38" s="22"/>
      <c r="H38" s="25" t="str">
        <f>Cirurgia!$G38/Cirurgia!$F38</f>
        <v>#DIV/0!</v>
      </c>
    </row>
    <row r="39" ht="15.75" customHeight="1">
      <c r="B39" s="22">
        <v>36.0</v>
      </c>
      <c r="C39" s="22" t="s">
        <v>142</v>
      </c>
      <c r="D39" s="22" t="s">
        <v>101</v>
      </c>
      <c r="E39" s="22"/>
      <c r="F39" s="22"/>
      <c r="G39" s="22"/>
      <c r="H39" s="25" t="str">
        <f>Cirurgia!$G39/Cirurgia!$F39</f>
        <v>#DIV/0!</v>
      </c>
    </row>
    <row r="40" ht="15.75" customHeight="1">
      <c r="B40" s="22">
        <v>37.0</v>
      </c>
      <c r="C40" s="22" t="s">
        <v>142</v>
      </c>
      <c r="D40" s="22" t="s">
        <v>51</v>
      </c>
      <c r="E40" s="22"/>
      <c r="F40" s="22"/>
      <c r="G40" s="22"/>
      <c r="H40" s="25" t="str">
        <f>Cirurgia!$G40/Cirurgia!$F40</f>
        <v>#DIV/0!</v>
      </c>
    </row>
    <row r="41" ht="15.75" customHeight="1">
      <c r="B41" s="22">
        <v>38.0</v>
      </c>
      <c r="C41" s="22" t="s">
        <v>142</v>
      </c>
      <c r="D41" s="22" t="s">
        <v>102</v>
      </c>
      <c r="E41" s="22"/>
      <c r="F41" s="22"/>
      <c r="G41" s="22"/>
      <c r="H41" s="25" t="str">
        <f>Cirurgia!$G41/Cirurgia!$F41</f>
        <v>#DIV/0!</v>
      </c>
    </row>
    <row r="42" ht="15.75" customHeight="1">
      <c r="B42" s="22">
        <v>39.0</v>
      </c>
      <c r="C42" s="22" t="s">
        <v>142</v>
      </c>
      <c r="D42" s="22" t="s">
        <v>52</v>
      </c>
      <c r="E42" s="22"/>
      <c r="F42" s="22"/>
      <c r="G42" s="22"/>
      <c r="H42" s="25" t="str">
        <f>Cirurgia!$G42/Cirurgia!$F42</f>
        <v>#DIV/0!</v>
      </c>
    </row>
    <row r="43" ht="15.75" customHeight="1">
      <c r="B43" s="22">
        <v>40.0</v>
      </c>
      <c r="C43" s="22" t="s">
        <v>143</v>
      </c>
      <c r="D43" s="22" t="s">
        <v>49</v>
      </c>
      <c r="E43" s="49"/>
      <c r="F43" s="49"/>
      <c r="G43" s="49"/>
      <c r="H43" s="25" t="str">
        <f>Cirurgia!$G43/Cirurgia!$F43</f>
        <v>#DIV/0!</v>
      </c>
    </row>
    <row r="44" ht="15.75" customHeight="1">
      <c r="B44" s="22">
        <v>41.0</v>
      </c>
      <c r="C44" s="22" t="s">
        <v>143</v>
      </c>
      <c r="D44" s="22" t="s">
        <v>50</v>
      </c>
      <c r="E44" s="49"/>
      <c r="F44" s="49"/>
      <c r="G44" s="49"/>
      <c r="H44" s="25" t="str">
        <f>Cirurgia!$G44/Cirurgia!$F44</f>
        <v>#DIV/0!</v>
      </c>
    </row>
    <row r="45" ht="15.75" customHeight="1">
      <c r="B45" s="22">
        <v>42.0</v>
      </c>
      <c r="C45" s="22" t="s">
        <v>143</v>
      </c>
      <c r="D45" s="22" t="s">
        <v>51</v>
      </c>
      <c r="E45" s="22"/>
      <c r="F45" s="22"/>
      <c r="G45" s="22"/>
      <c r="H45" s="25" t="str">
        <f>Cirurgia!$G45/Cirurgia!$F45</f>
        <v>#DIV/0!</v>
      </c>
    </row>
    <row r="46" ht="15.75" customHeight="1">
      <c r="B46" s="22">
        <v>43.0</v>
      </c>
      <c r="C46" s="22" t="s">
        <v>143</v>
      </c>
      <c r="D46" s="22" t="s">
        <v>52</v>
      </c>
      <c r="E46" s="22"/>
      <c r="F46" s="22"/>
      <c r="G46" s="22"/>
      <c r="H46" s="25" t="str">
        <f>Cirurgia!$G46/Cirurgia!$F46</f>
        <v>#DIV/0!</v>
      </c>
    </row>
    <row r="47" ht="15.75" customHeight="1">
      <c r="B47" s="22">
        <v>44.0</v>
      </c>
      <c r="C47" s="52" t="s">
        <v>144</v>
      </c>
      <c r="D47" s="22" t="s">
        <v>67</v>
      </c>
      <c r="E47" s="22"/>
      <c r="F47" s="22"/>
      <c r="G47" s="22"/>
      <c r="H47" s="25" t="str">
        <f>Cirurgia!$G47/Cirurgia!$F47</f>
        <v>#DIV/0!</v>
      </c>
    </row>
    <row r="48" ht="15.75" customHeight="1">
      <c r="B48" s="22">
        <v>45.0</v>
      </c>
      <c r="C48" s="22" t="s">
        <v>145</v>
      </c>
      <c r="D48" s="22" t="s">
        <v>49</v>
      </c>
      <c r="E48" s="22"/>
      <c r="F48" s="49"/>
      <c r="G48" s="49"/>
      <c r="H48" s="25" t="str">
        <f>Cirurgia!$G48/Cirurgia!$F48</f>
        <v>#DIV/0!</v>
      </c>
    </row>
    <row r="49" ht="15.75" customHeight="1">
      <c r="B49" s="22">
        <v>46.0</v>
      </c>
      <c r="C49" s="22" t="s">
        <v>145</v>
      </c>
      <c r="D49" s="22" t="s">
        <v>50</v>
      </c>
      <c r="E49" s="22"/>
      <c r="F49" s="49"/>
      <c r="G49" s="49"/>
      <c r="H49" s="25" t="str">
        <f>Cirurgia!$G49/Cirurgia!$F49</f>
        <v>#DIV/0!</v>
      </c>
    </row>
    <row r="50" ht="15.75" customHeight="1">
      <c r="B50" s="22">
        <v>47.0</v>
      </c>
      <c r="C50" s="22" t="s">
        <v>145</v>
      </c>
      <c r="D50" s="22" t="s">
        <v>51</v>
      </c>
      <c r="E50" s="22"/>
      <c r="F50" s="49"/>
      <c r="G50" s="49"/>
      <c r="H50" s="25" t="str">
        <f>Cirurgia!$G50/Cirurgia!$F50</f>
        <v>#DIV/0!</v>
      </c>
    </row>
    <row r="51" ht="15.75" customHeight="1">
      <c r="B51" s="22">
        <v>48.0</v>
      </c>
      <c r="C51" s="22" t="s">
        <v>145</v>
      </c>
      <c r="D51" s="22" t="s">
        <v>52</v>
      </c>
      <c r="E51" s="22"/>
      <c r="F51" s="22"/>
      <c r="G51" s="22"/>
      <c r="H51" s="25" t="str">
        <f>Cirurgia!$G51/Cirurgia!$F51</f>
        <v>#DIV/0!</v>
      </c>
    </row>
    <row r="52" ht="15.75" customHeight="1">
      <c r="B52" s="22">
        <v>49.0</v>
      </c>
      <c r="C52" s="52" t="s">
        <v>146</v>
      </c>
      <c r="D52" s="22" t="s">
        <v>67</v>
      </c>
      <c r="E52" s="22"/>
      <c r="F52" s="22"/>
      <c r="G52" s="22"/>
      <c r="H52" s="25" t="str">
        <f>Cirurgia!$G52/Cirurgia!$F52</f>
        <v>#DIV/0!</v>
      </c>
    </row>
    <row r="53" ht="15.75" customHeight="1">
      <c r="B53" s="22">
        <v>50.0</v>
      </c>
      <c r="C53" s="22" t="s">
        <v>147</v>
      </c>
      <c r="D53" s="22" t="s">
        <v>49</v>
      </c>
      <c r="E53" s="49"/>
      <c r="F53" s="22"/>
      <c r="G53" s="22"/>
      <c r="H53" s="25" t="str">
        <f>Cirurgia!$G53/Cirurgia!$F53</f>
        <v>#DIV/0!</v>
      </c>
    </row>
    <row r="54" ht="15.75" customHeight="1">
      <c r="B54" s="22">
        <v>51.0</v>
      </c>
      <c r="C54" s="22" t="s">
        <v>147</v>
      </c>
      <c r="D54" s="22" t="s">
        <v>50</v>
      </c>
      <c r="E54" s="22"/>
      <c r="F54" s="22"/>
      <c r="G54" s="22"/>
      <c r="H54" s="25" t="str">
        <f>Cirurgia!$G54/Cirurgia!$F54</f>
        <v>#DIV/0!</v>
      </c>
    </row>
    <row r="55" ht="15.75" customHeight="1">
      <c r="B55" s="22">
        <v>52.0</v>
      </c>
      <c r="C55" s="22" t="s">
        <v>147</v>
      </c>
      <c r="D55" s="22" t="s">
        <v>52</v>
      </c>
      <c r="E55" s="22"/>
      <c r="F55" s="22"/>
      <c r="G55" s="22"/>
      <c r="H55" s="25" t="str">
        <f>Cirurgia!$G55/Cirurgia!$F55</f>
        <v>#DIV/0!</v>
      </c>
    </row>
    <row r="56" ht="15.75" customHeight="1">
      <c r="B56" s="22">
        <v>53.0</v>
      </c>
      <c r="C56" s="52" t="s">
        <v>148</v>
      </c>
      <c r="D56" s="22" t="s">
        <v>57</v>
      </c>
      <c r="E56" s="22"/>
      <c r="F56" s="22"/>
      <c r="G56" s="22"/>
      <c r="H56" s="25" t="str">
        <f>Cirurgia!$G56/Cirurgia!$F56</f>
        <v>#DIV/0!</v>
      </c>
    </row>
    <row r="57" ht="15.75" customHeight="1">
      <c r="B57" s="22">
        <v>54.0</v>
      </c>
      <c r="C57" s="22" t="s">
        <v>149</v>
      </c>
      <c r="D57" s="22" t="s">
        <v>49</v>
      </c>
      <c r="E57" s="49"/>
      <c r="F57" s="22"/>
      <c r="G57" s="22"/>
      <c r="H57" s="25" t="str">
        <f>Cirurgia!$G57/Cirurgia!$F57</f>
        <v>#DIV/0!</v>
      </c>
    </row>
    <row r="58" ht="15.75" customHeight="1">
      <c r="B58" s="22">
        <v>55.0</v>
      </c>
      <c r="C58" s="22" t="s">
        <v>149</v>
      </c>
      <c r="D58" s="22" t="s">
        <v>50</v>
      </c>
      <c r="E58" s="49"/>
      <c r="F58" s="49"/>
      <c r="G58" s="49"/>
      <c r="H58" s="25" t="str">
        <f>Cirurgia!$G58/Cirurgia!$F58</f>
        <v>#DIV/0!</v>
      </c>
    </row>
    <row r="59" ht="15.75" customHeight="1">
      <c r="B59" s="22">
        <v>56.0</v>
      </c>
      <c r="C59" s="22" t="s">
        <v>149</v>
      </c>
      <c r="D59" s="22" t="s">
        <v>101</v>
      </c>
      <c r="E59" s="49"/>
      <c r="F59" s="49"/>
      <c r="G59" s="49"/>
      <c r="H59" s="25" t="str">
        <f>Cirurgia!$G59/Cirurgia!$F59</f>
        <v>#DIV/0!</v>
      </c>
    </row>
    <row r="60" ht="15.75" customHeight="1">
      <c r="B60" s="22">
        <v>57.0</v>
      </c>
      <c r="C60" s="22" t="s">
        <v>149</v>
      </c>
      <c r="D60" s="22" t="s">
        <v>51</v>
      </c>
      <c r="E60" s="49"/>
      <c r="F60" s="49"/>
      <c r="G60" s="49"/>
      <c r="H60" s="25" t="str">
        <f>Cirurgia!$G60/Cirurgia!$F60</f>
        <v>#DIV/0!</v>
      </c>
    </row>
    <row r="61" ht="15.75" customHeight="1">
      <c r="B61" s="22">
        <v>58.0</v>
      </c>
      <c r="C61" s="22" t="s">
        <v>149</v>
      </c>
      <c r="D61" s="22" t="s">
        <v>102</v>
      </c>
      <c r="E61" s="49"/>
      <c r="F61" s="49"/>
      <c r="G61" s="49"/>
      <c r="H61" s="25" t="str">
        <f>Cirurgia!$G61/Cirurgia!$F61</f>
        <v>#DIV/0!</v>
      </c>
    </row>
    <row r="62" ht="15.75" customHeight="1">
      <c r="B62" s="22">
        <v>59.0</v>
      </c>
      <c r="C62" s="22" t="s">
        <v>149</v>
      </c>
      <c r="D62" s="22" t="s">
        <v>52</v>
      </c>
      <c r="E62" s="22"/>
      <c r="F62" s="22"/>
      <c r="G62" s="22"/>
      <c r="H62" s="25" t="str">
        <f>Cirurgia!$G62/Cirurgia!$F62</f>
        <v>#DIV/0!</v>
      </c>
    </row>
    <row r="63" ht="15.75" customHeight="1">
      <c r="B63" s="22">
        <v>60.0</v>
      </c>
      <c r="C63" s="22" t="s">
        <v>150</v>
      </c>
      <c r="D63" s="22" t="s">
        <v>49</v>
      </c>
      <c r="E63" s="49"/>
      <c r="F63" s="49"/>
      <c r="G63" s="49"/>
      <c r="H63" s="25" t="str">
        <f>Cirurgia!$G63/Cirurgia!$F63</f>
        <v>#DIV/0!</v>
      </c>
    </row>
    <row r="64" ht="15.75" customHeight="1">
      <c r="B64" s="22">
        <v>61.0</v>
      </c>
      <c r="C64" s="22" t="s">
        <v>150</v>
      </c>
      <c r="D64" s="22" t="s">
        <v>50</v>
      </c>
      <c r="E64" s="22"/>
      <c r="F64" s="22"/>
      <c r="G64" s="22"/>
      <c r="H64" s="25" t="str">
        <f>Cirurgia!$G64/Cirurgia!$F64</f>
        <v>#DIV/0!</v>
      </c>
    </row>
    <row r="65" ht="15.75" customHeight="1">
      <c r="B65" s="22">
        <v>62.0</v>
      </c>
      <c r="C65" s="22" t="s">
        <v>150</v>
      </c>
      <c r="D65" s="22" t="s">
        <v>51</v>
      </c>
      <c r="E65" s="22"/>
      <c r="F65" s="22"/>
      <c r="G65" s="22"/>
      <c r="H65" s="25" t="str">
        <f>Cirurgia!$G65/Cirurgia!$F65</f>
        <v>#DIV/0!</v>
      </c>
    </row>
    <row r="66" ht="15.75" customHeight="1">
      <c r="B66" s="22">
        <v>63.0</v>
      </c>
      <c r="C66" s="22" t="s">
        <v>150</v>
      </c>
      <c r="D66" s="22" t="s">
        <v>52</v>
      </c>
      <c r="E66" s="22"/>
      <c r="F66" s="22"/>
      <c r="G66" s="22"/>
      <c r="H66" s="25" t="str">
        <f>Cirurgia!$G66/Cirurgia!$F66</f>
        <v>#DIV/0!</v>
      </c>
    </row>
    <row r="67" ht="15.75" customHeight="1">
      <c r="B67" s="22">
        <v>64.0</v>
      </c>
      <c r="C67" s="22" t="s">
        <v>151</v>
      </c>
      <c r="D67" s="22" t="s">
        <v>49</v>
      </c>
      <c r="E67" s="49"/>
      <c r="F67" s="49"/>
      <c r="G67" s="49"/>
      <c r="H67" s="25" t="str">
        <f>Cirurgia!$G67/Cirurgia!$F67</f>
        <v>#DIV/0!</v>
      </c>
    </row>
    <row r="68" ht="15.75" customHeight="1">
      <c r="B68" s="22">
        <v>65.0</v>
      </c>
      <c r="C68" s="22" t="s">
        <v>151</v>
      </c>
      <c r="D68" s="22" t="s">
        <v>50</v>
      </c>
      <c r="E68" s="49"/>
      <c r="F68" s="49"/>
      <c r="G68" s="49"/>
      <c r="H68" s="25" t="str">
        <f>Cirurgia!$G68/Cirurgia!$F68</f>
        <v>#DIV/0!</v>
      </c>
    </row>
    <row r="69" ht="15.75" customHeight="1">
      <c r="B69" s="22">
        <v>66.0</v>
      </c>
      <c r="C69" s="22" t="s">
        <v>151</v>
      </c>
      <c r="D69" s="22" t="s">
        <v>51</v>
      </c>
      <c r="E69" s="22"/>
      <c r="F69" s="49"/>
      <c r="G69" s="49"/>
      <c r="H69" s="25" t="str">
        <f>Cirurgia!$G69/Cirurgia!$F69</f>
        <v>#DIV/0!</v>
      </c>
    </row>
    <row r="70" ht="15.75" customHeight="1">
      <c r="B70" s="22">
        <v>67.0</v>
      </c>
      <c r="C70" s="22" t="s">
        <v>151</v>
      </c>
      <c r="D70" s="22" t="s">
        <v>52</v>
      </c>
      <c r="E70" s="22"/>
      <c r="F70" s="22"/>
      <c r="G70" s="22"/>
      <c r="H70" s="25" t="str">
        <f>Cirurgia!$G70/Cirurgia!$F70</f>
        <v>#DIV/0!</v>
      </c>
    </row>
    <row r="71" ht="15.75" customHeight="1">
      <c r="B71" s="22">
        <v>68.0</v>
      </c>
      <c r="C71" s="22" t="s">
        <v>152</v>
      </c>
      <c r="D71" s="22" t="s">
        <v>49</v>
      </c>
      <c r="E71" s="22"/>
      <c r="F71" s="22"/>
      <c r="G71" s="22"/>
      <c r="H71" s="25" t="str">
        <f>Cirurgia!$G71/Cirurgia!$F71</f>
        <v>#DIV/0!</v>
      </c>
    </row>
    <row r="72" ht="21.75" customHeight="1">
      <c r="B72" s="22">
        <v>69.0</v>
      </c>
      <c r="C72" s="22" t="s">
        <v>152</v>
      </c>
      <c r="D72" s="22" t="s">
        <v>50</v>
      </c>
      <c r="E72" s="22"/>
      <c r="F72" s="22"/>
      <c r="G72" s="22"/>
      <c r="H72" s="25" t="str">
        <f>Cirurgia!$G72/Cirurgia!$F72</f>
        <v>#DIV/0!</v>
      </c>
    </row>
    <row r="73" ht="21.75" customHeight="1">
      <c r="B73" s="22">
        <v>70.0</v>
      </c>
      <c r="C73" s="22" t="s">
        <v>152</v>
      </c>
      <c r="D73" s="22" t="s">
        <v>52</v>
      </c>
      <c r="E73" s="22"/>
      <c r="F73" s="22"/>
      <c r="G73" s="22"/>
      <c r="H73" s="25" t="str">
        <f>Cirurgia!$G73/Cirurgia!$F73</f>
        <v>#DIV/0!</v>
      </c>
    </row>
    <row r="74" ht="15.75" customHeight="1">
      <c r="B74" s="22">
        <v>71.0</v>
      </c>
      <c r="C74" s="52" t="s">
        <v>153</v>
      </c>
      <c r="D74" s="22" t="s">
        <v>57</v>
      </c>
      <c r="E74" s="22"/>
      <c r="F74" s="22"/>
      <c r="G74" s="22"/>
      <c r="H74" s="25" t="str">
        <f>Cirurgia!$G74/Cirurgia!$F74</f>
        <v>#DIV/0!</v>
      </c>
    </row>
    <row r="75" ht="21.75" customHeight="1">
      <c r="B75" s="22">
        <v>72.0</v>
      </c>
      <c r="C75" s="22" t="s">
        <v>154</v>
      </c>
      <c r="D75" s="22" t="s">
        <v>67</v>
      </c>
      <c r="E75" s="49"/>
      <c r="F75" s="49"/>
      <c r="G75" s="49"/>
      <c r="H75" s="25" t="str">
        <f>Cirurgia!$G75/Cirurgia!$F75</f>
        <v>#DIV/0!</v>
      </c>
    </row>
    <row r="76" ht="15.75" customHeight="1">
      <c r="B76" s="22">
        <v>73.0</v>
      </c>
      <c r="C76" s="22" t="s">
        <v>154</v>
      </c>
      <c r="D76" s="22" t="s">
        <v>52</v>
      </c>
      <c r="E76" s="22"/>
      <c r="F76" s="22"/>
      <c r="G76" s="22"/>
      <c r="H76" s="25" t="str">
        <f>Cirurgia!$G76/Cirurgia!$F76</f>
        <v>#DIV/0!</v>
      </c>
    </row>
    <row r="77" ht="15.75" customHeight="1">
      <c r="B77" s="22">
        <v>74.0</v>
      </c>
      <c r="C77" s="22" t="s">
        <v>155</v>
      </c>
      <c r="D77" s="22" t="s">
        <v>67</v>
      </c>
      <c r="E77" s="22"/>
      <c r="F77" s="22"/>
      <c r="G77" s="22"/>
      <c r="H77" s="25" t="str">
        <f>Cirurgia!$G77/Cirurgia!$F77</f>
        <v>#DIV/0!</v>
      </c>
    </row>
    <row r="78" ht="23.25" customHeight="1">
      <c r="B78" s="22">
        <v>75.0</v>
      </c>
      <c r="C78" s="22" t="s">
        <v>155</v>
      </c>
      <c r="D78" s="22" t="s">
        <v>52</v>
      </c>
      <c r="E78" s="22"/>
      <c r="F78" s="22"/>
      <c r="G78" s="22"/>
      <c r="H78" s="25" t="str">
        <f>Cirurgia!$G78/Cirurgia!$F78</f>
        <v>#DIV/0!</v>
      </c>
    </row>
    <row r="79" ht="20.25" customHeight="1">
      <c r="B79" s="22">
        <v>76.0</v>
      </c>
      <c r="C79" s="22" t="s">
        <v>156</v>
      </c>
      <c r="D79" s="22" t="s">
        <v>49</v>
      </c>
      <c r="E79" s="49"/>
      <c r="F79" s="49"/>
      <c r="G79" s="49"/>
      <c r="H79" s="25" t="str">
        <f>Cirurgia!$G79/Cirurgia!$F79</f>
        <v>#DIV/0!</v>
      </c>
    </row>
    <row r="80" ht="15.75" customHeight="1">
      <c r="B80" s="22">
        <v>77.0</v>
      </c>
      <c r="C80" s="22" t="s">
        <v>156</v>
      </c>
      <c r="D80" s="22" t="s">
        <v>50</v>
      </c>
      <c r="E80" s="49"/>
      <c r="F80" s="49"/>
      <c r="G80" s="49"/>
      <c r="H80" s="25" t="str">
        <f>Cirurgia!$G80/Cirurgia!$F80</f>
        <v>#DIV/0!</v>
      </c>
    </row>
    <row r="81" ht="15.75" customHeight="1">
      <c r="B81" s="22">
        <v>78.0</v>
      </c>
      <c r="C81" s="22" t="s">
        <v>156</v>
      </c>
      <c r="D81" s="22" t="s">
        <v>52</v>
      </c>
      <c r="E81" s="22"/>
      <c r="F81" s="22"/>
      <c r="G81" s="22"/>
      <c r="H81" s="25" t="str">
        <f>Cirurgia!$G81/Cirurgia!$F81</f>
        <v>#DIV/0!</v>
      </c>
    </row>
    <row r="82" ht="15.75" customHeight="1">
      <c r="B82" s="22">
        <v>79.0</v>
      </c>
      <c r="C82" s="22" t="s">
        <v>157</v>
      </c>
      <c r="D82" s="22" t="s">
        <v>49</v>
      </c>
      <c r="E82" s="22"/>
      <c r="F82" s="22"/>
      <c r="G82" s="22"/>
      <c r="H82" s="25" t="str">
        <f>Cirurgia!$G82/Cirurgia!$F82</f>
        <v>#DIV/0!</v>
      </c>
    </row>
    <row r="83" ht="15.75" customHeight="1">
      <c r="B83" s="22">
        <v>80.0</v>
      </c>
      <c r="C83" s="22" t="s">
        <v>157</v>
      </c>
      <c r="D83" s="22" t="s">
        <v>50</v>
      </c>
      <c r="E83" s="22"/>
      <c r="F83" s="22"/>
      <c r="G83" s="22"/>
      <c r="H83" s="25" t="str">
        <f>Cirurgia!$G83/Cirurgia!$F83</f>
        <v>#DIV/0!</v>
      </c>
    </row>
    <row r="84" ht="15.75" customHeight="1">
      <c r="B84" s="22">
        <v>81.0</v>
      </c>
      <c r="C84" s="22" t="s">
        <v>157</v>
      </c>
      <c r="D84" s="22" t="s">
        <v>52</v>
      </c>
      <c r="E84" s="22"/>
      <c r="F84" s="22"/>
      <c r="G84" s="22"/>
      <c r="H84" s="25" t="str">
        <f>Cirurgia!$G84/Cirurgia!$F84</f>
        <v>#DIV/0!</v>
      </c>
    </row>
    <row r="85" ht="15.75" customHeight="1">
      <c r="B85" s="22">
        <v>82.0</v>
      </c>
      <c r="C85" s="22" t="s">
        <v>158</v>
      </c>
      <c r="D85" s="22" t="s">
        <v>49</v>
      </c>
      <c r="E85" s="49"/>
      <c r="F85" s="22"/>
      <c r="G85" s="22"/>
      <c r="H85" s="25" t="str">
        <f>Cirurgia!$G85/Cirurgia!$F85</f>
        <v>#DIV/0!</v>
      </c>
    </row>
    <row r="86" ht="15.75" customHeight="1">
      <c r="B86" s="22">
        <v>83.0</v>
      </c>
      <c r="C86" s="22" t="s">
        <v>158</v>
      </c>
      <c r="D86" s="22" t="s">
        <v>50</v>
      </c>
      <c r="E86" s="22"/>
      <c r="F86" s="22"/>
      <c r="G86" s="22"/>
      <c r="H86" s="25" t="str">
        <f>Cirurgia!$G86/Cirurgia!$F86</f>
        <v>#DIV/0!</v>
      </c>
    </row>
    <row r="87" ht="15.75" customHeight="1">
      <c r="B87" s="22">
        <v>84.0</v>
      </c>
      <c r="C87" s="22" t="s">
        <v>158</v>
      </c>
      <c r="D87" s="22" t="s">
        <v>52</v>
      </c>
      <c r="E87" s="22"/>
      <c r="F87" s="22"/>
      <c r="G87" s="22"/>
      <c r="H87" s="25" t="str">
        <f>Cirurgia!$G87/Cirurgia!$F87</f>
        <v>#DIV/0!</v>
      </c>
    </row>
    <row r="88" ht="15.75" customHeight="1">
      <c r="B88" s="22">
        <v>85.0</v>
      </c>
      <c r="C88" s="52" t="s">
        <v>159</v>
      </c>
      <c r="D88" s="22" t="s">
        <v>57</v>
      </c>
      <c r="E88" s="22"/>
      <c r="F88" s="22"/>
      <c r="G88" s="22"/>
      <c r="H88" s="25" t="str">
        <f>Cirurgia!$G88/Cirurgia!$F88</f>
        <v>#DIV/0!</v>
      </c>
    </row>
    <row r="89" ht="15.75" customHeight="1">
      <c r="B89" s="9" t="s">
        <v>28</v>
      </c>
      <c r="C89" s="54"/>
      <c r="D89" s="54"/>
      <c r="E89" s="22">
        <f>COUNTA(E4:E88)</f>
        <v>5</v>
      </c>
      <c r="F89" s="22">
        <f t="shared" ref="F89:G89" si="1">SUM(F4:F88)</f>
        <v>190</v>
      </c>
      <c r="G89" s="22">
        <f t="shared" si="1"/>
        <v>149</v>
      </c>
      <c r="H89" s="25">
        <f>Cirurgia!$G89/Cirurgia!$F89</f>
        <v>0.7842105263</v>
      </c>
    </row>
    <row r="90" ht="15.75" customHeight="1">
      <c r="B90" s="55"/>
      <c r="C90" s="55"/>
      <c r="D90" s="55"/>
      <c r="E90" s="55"/>
      <c r="F90" s="55"/>
      <c r="G90" s="55"/>
      <c r="H90" s="55"/>
    </row>
    <row r="91" ht="15.75" customHeight="1">
      <c r="B91" s="55"/>
      <c r="C91" s="55"/>
      <c r="D91" s="55"/>
      <c r="E91" s="55"/>
      <c r="F91" s="55"/>
      <c r="G91" s="55"/>
      <c r="H91" s="55"/>
    </row>
    <row r="92" ht="15.75" customHeight="1">
      <c r="B92" s="55"/>
      <c r="C92" s="55"/>
      <c r="D92" s="55"/>
      <c r="E92" s="55"/>
      <c r="F92" s="55"/>
      <c r="G92" s="55"/>
      <c r="H92" s="55"/>
    </row>
    <row r="93" ht="15.75" customHeight="1">
      <c r="B93" s="55"/>
      <c r="C93" s="55"/>
      <c r="D93" s="55"/>
      <c r="E93" s="55"/>
      <c r="F93" s="55"/>
      <c r="G93" s="55"/>
      <c r="H93" s="5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 E37:E88">
    <cfRule type="containsText" dxfId="10" priority="1" operator="containsText" text="Sim">
      <formula>NOT(ISERROR(SEARCH(("Sim"),(E4))))</formula>
    </cfRule>
  </conditionalFormatting>
  <conditionalFormatting sqref="E5:E36">
    <cfRule type="containsText" dxfId="10" priority="2" operator="containsText" text="Sim">
      <formula>NOT(ISERROR(SEARCH(("Sim"),(E5))))</formula>
    </cfRule>
  </conditionalFormatting>
  <dataValidations>
    <dataValidation type="list" allowBlank="1" showInputMessage="1" showErrorMessage="1" prompt="Tarefa Realizada? - Click em &quot;Sim&quot; ao realizar toda a Tarefa correspondente!" sqref="E4:E88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50.86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160</v>
      </c>
      <c r="D4" s="22" t="s">
        <v>49</v>
      </c>
      <c r="E4" s="49"/>
      <c r="F4" s="49"/>
      <c r="G4" s="49"/>
      <c r="H4" s="25" t="str">
        <f>Infectologia!$G4/Infectologia!$F4</f>
        <v>#DIV/0!</v>
      </c>
    </row>
    <row r="5">
      <c r="B5" s="22">
        <v>2.0</v>
      </c>
      <c r="C5" s="22" t="s">
        <v>160</v>
      </c>
      <c r="D5" s="22" t="s">
        <v>50</v>
      </c>
      <c r="E5" s="49"/>
      <c r="F5" s="49"/>
      <c r="G5" s="49"/>
      <c r="H5" s="25" t="str">
        <f>Infectologia!$G5/Infectologia!$F5</f>
        <v>#DIV/0!</v>
      </c>
      <c r="I5" s="50"/>
      <c r="J5" s="50"/>
    </row>
    <row r="6">
      <c r="B6" s="22">
        <v>3.0</v>
      </c>
      <c r="C6" s="22" t="s">
        <v>160</v>
      </c>
      <c r="D6" s="22" t="s">
        <v>51</v>
      </c>
      <c r="E6" s="49"/>
      <c r="F6" s="49"/>
      <c r="G6" s="49"/>
      <c r="H6" s="25" t="str">
        <f>Infectologia!$G6/Infectologia!$F6</f>
        <v>#DIV/0!</v>
      </c>
    </row>
    <row r="7" ht="24.0" customHeight="1">
      <c r="B7" s="22">
        <v>4.0</v>
      </c>
      <c r="C7" s="22" t="s">
        <v>160</v>
      </c>
      <c r="D7" s="22" t="s">
        <v>52</v>
      </c>
      <c r="E7" s="22"/>
      <c r="F7" s="22"/>
      <c r="G7" s="22"/>
      <c r="H7" s="25" t="str">
        <f>Infectologia!$G7/Infectologia!$F7</f>
        <v>#DIV/0!</v>
      </c>
    </row>
    <row r="8">
      <c r="B8" s="22">
        <v>5.0</v>
      </c>
      <c r="C8" s="22" t="s">
        <v>161</v>
      </c>
      <c r="D8" s="22" t="s">
        <v>49</v>
      </c>
      <c r="E8" s="53" t="s">
        <v>40</v>
      </c>
      <c r="F8" s="53">
        <v>28.0</v>
      </c>
      <c r="G8" s="53">
        <v>17.0</v>
      </c>
      <c r="H8" s="25">
        <f>Infectologia!$G8/Infectologia!$F8</f>
        <v>0.6071428571</v>
      </c>
    </row>
    <row r="9">
      <c r="B9" s="22">
        <v>6.0</v>
      </c>
      <c r="C9" s="22" t="s">
        <v>161</v>
      </c>
      <c r="D9" s="22" t="s">
        <v>50</v>
      </c>
      <c r="E9" s="53" t="s">
        <v>40</v>
      </c>
      <c r="F9" s="53">
        <v>19.0</v>
      </c>
      <c r="G9" s="53">
        <v>17.0</v>
      </c>
      <c r="H9" s="25">
        <f>Infectologia!$G9/Infectologia!$F9</f>
        <v>0.8947368421</v>
      </c>
    </row>
    <row r="10">
      <c r="B10" s="22">
        <v>7.0</v>
      </c>
      <c r="C10" s="22" t="s">
        <v>161</v>
      </c>
      <c r="D10" s="22" t="s">
        <v>51</v>
      </c>
      <c r="E10" s="22"/>
      <c r="F10" s="22"/>
      <c r="G10" s="22"/>
      <c r="H10" s="25" t="str">
        <f>Infectologia!$G10/Infectologia!$F10</f>
        <v>#DIV/0!</v>
      </c>
    </row>
    <row r="11">
      <c r="B11" s="22">
        <v>8.0</v>
      </c>
      <c r="C11" s="22" t="s">
        <v>161</v>
      </c>
      <c r="D11" s="22" t="s">
        <v>52</v>
      </c>
      <c r="E11" s="53" t="s">
        <v>40</v>
      </c>
      <c r="F11" s="53">
        <v>39.0</v>
      </c>
      <c r="G11" s="53">
        <v>31.0</v>
      </c>
      <c r="H11" s="25">
        <f>Infectologia!$G11/Infectologia!$F11</f>
        <v>0.7948717949</v>
      </c>
    </row>
    <row r="12">
      <c r="B12" s="22">
        <v>9.0</v>
      </c>
      <c r="C12" s="52" t="s">
        <v>89</v>
      </c>
      <c r="D12" s="22" t="s">
        <v>49</v>
      </c>
      <c r="E12" s="53" t="s">
        <v>40</v>
      </c>
      <c r="F12" s="53">
        <v>18.0</v>
      </c>
      <c r="G12" s="53">
        <v>14.0</v>
      </c>
      <c r="H12" s="25">
        <f>Infectologia!$G12/Infectologia!$F12</f>
        <v>0.7777777778</v>
      </c>
    </row>
    <row r="13">
      <c r="B13" s="22">
        <v>10.0</v>
      </c>
      <c r="C13" s="22" t="s">
        <v>89</v>
      </c>
      <c r="D13" s="22" t="s">
        <v>50</v>
      </c>
      <c r="E13" s="53" t="s">
        <v>40</v>
      </c>
      <c r="F13" s="53">
        <v>19.0</v>
      </c>
      <c r="G13" s="53">
        <v>18.0</v>
      </c>
      <c r="H13" s="25">
        <f>Infectologia!$G13/Infectologia!$F13</f>
        <v>0.9473684211</v>
      </c>
    </row>
    <row r="14">
      <c r="B14" s="22">
        <v>11.0</v>
      </c>
      <c r="C14" s="52" t="s">
        <v>89</v>
      </c>
      <c r="D14" s="22" t="s">
        <v>52</v>
      </c>
      <c r="E14" s="53" t="s">
        <v>40</v>
      </c>
      <c r="F14" s="53">
        <v>35.0</v>
      </c>
      <c r="G14" s="53">
        <v>27.0</v>
      </c>
      <c r="H14" s="25">
        <f>Infectologia!$G14/Infectologia!$F14</f>
        <v>0.7714285714</v>
      </c>
    </row>
    <row r="15">
      <c r="B15" s="22">
        <v>12.0</v>
      </c>
      <c r="C15" s="52" t="s">
        <v>162</v>
      </c>
      <c r="D15" s="22" t="s">
        <v>49</v>
      </c>
      <c r="E15" s="22"/>
      <c r="F15" s="22"/>
      <c r="G15" s="22"/>
      <c r="H15" s="25" t="str">
        <f>Infectologia!$G15/Infectologia!$F15</f>
        <v>#DIV/0!</v>
      </c>
    </row>
    <row r="16">
      <c r="B16" s="22">
        <v>13.0</v>
      </c>
      <c r="C16" s="52" t="s">
        <v>162</v>
      </c>
      <c r="D16" s="22" t="s">
        <v>50</v>
      </c>
      <c r="E16" s="22"/>
      <c r="F16" s="22"/>
      <c r="G16" s="22"/>
      <c r="H16" s="25" t="str">
        <f>Infectologia!$G16/Infectologia!$F16</f>
        <v>#DIV/0!</v>
      </c>
    </row>
    <row r="17">
      <c r="B17" s="22">
        <v>14.0</v>
      </c>
      <c r="C17" s="52" t="s">
        <v>162</v>
      </c>
      <c r="D17" s="22" t="s">
        <v>51</v>
      </c>
      <c r="E17" s="22"/>
      <c r="F17" s="22"/>
      <c r="G17" s="22"/>
      <c r="H17" s="25" t="str">
        <f>Infectologia!$G17/Infectologia!$F17</f>
        <v>#DIV/0!</v>
      </c>
    </row>
    <row r="18">
      <c r="B18" s="22">
        <v>15.0</v>
      </c>
      <c r="C18" s="52" t="s">
        <v>162</v>
      </c>
      <c r="D18" s="22" t="s">
        <v>52</v>
      </c>
      <c r="E18" s="22"/>
      <c r="F18" s="22"/>
      <c r="G18" s="22"/>
      <c r="H18" s="25" t="str">
        <f>Infectologia!$G18/Infectologia!$F18</f>
        <v>#DIV/0!</v>
      </c>
    </row>
    <row r="19">
      <c r="B19" s="22">
        <v>16.0</v>
      </c>
      <c r="C19" s="52" t="s">
        <v>163</v>
      </c>
      <c r="D19" s="22" t="s">
        <v>57</v>
      </c>
      <c r="E19" s="22"/>
      <c r="F19" s="22"/>
      <c r="G19" s="22"/>
      <c r="H19" s="25" t="str">
        <f>Infectologia!$G19/Infectologia!$F19</f>
        <v>#DIV/0!</v>
      </c>
    </row>
    <row r="20">
      <c r="B20" s="22">
        <v>17.0</v>
      </c>
      <c r="C20" s="22" t="s">
        <v>164</v>
      </c>
      <c r="D20" s="22" t="s">
        <v>67</v>
      </c>
      <c r="E20" s="22"/>
      <c r="F20" s="22"/>
      <c r="G20" s="22"/>
      <c r="H20" s="25" t="str">
        <f>Infectologia!$G20/Infectologia!$F20</f>
        <v>#DIV/0!</v>
      </c>
    </row>
    <row r="21" ht="15.75" customHeight="1">
      <c r="B21" s="22">
        <v>18.0</v>
      </c>
      <c r="C21" s="22" t="s">
        <v>165</v>
      </c>
      <c r="D21" s="22" t="s">
        <v>49</v>
      </c>
      <c r="E21" s="49"/>
      <c r="F21" s="49"/>
      <c r="G21" s="49"/>
      <c r="H21" s="25" t="str">
        <f>Infectologia!$G21/Infectologia!$F21</f>
        <v>#DIV/0!</v>
      </c>
    </row>
    <row r="22" ht="15.75" customHeight="1">
      <c r="B22" s="22">
        <v>19.0</v>
      </c>
      <c r="C22" s="22" t="s">
        <v>165</v>
      </c>
      <c r="D22" s="22" t="s">
        <v>50</v>
      </c>
      <c r="E22" s="49"/>
      <c r="F22" s="22"/>
      <c r="G22" s="22"/>
      <c r="H22" s="25" t="str">
        <f>Infectologia!$G22/Infectologia!$F22</f>
        <v>#DIV/0!</v>
      </c>
    </row>
    <row r="23" ht="15.75" customHeight="1">
      <c r="B23" s="22">
        <v>20.0</v>
      </c>
      <c r="C23" s="22" t="s">
        <v>165</v>
      </c>
      <c r="D23" s="22" t="s">
        <v>52</v>
      </c>
      <c r="E23" s="22"/>
      <c r="F23" s="22"/>
      <c r="G23" s="22"/>
      <c r="H23" s="25" t="str">
        <f>Infectologia!$G23/Infectologia!$F23</f>
        <v>#DIV/0!</v>
      </c>
    </row>
    <row r="24" ht="15.75" customHeight="1">
      <c r="B24" s="22">
        <v>21.0</v>
      </c>
      <c r="C24" s="52" t="s">
        <v>166</v>
      </c>
      <c r="D24" s="22" t="s">
        <v>67</v>
      </c>
      <c r="E24" s="22"/>
      <c r="F24" s="22"/>
      <c r="G24" s="22"/>
      <c r="H24" s="25" t="str">
        <f>Infectologia!$G24/Infectologia!$F24</f>
        <v>#DIV/0!</v>
      </c>
    </row>
    <row r="25" ht="15.75" customHeight="1">
      <c r="B25" s="22">
        <v>22.0</v>
      </c>
      <c r="C25" s="22" t="s">
        <v>167</v>
      </c>
      <c r="D25" s="22" t="s">
        <v>49</v>
      </c>
      <c r="E25" s="22"/>
      <c r="F25" s="22"/>
      <c r="G25" s="22"/>
      <c r="H25" s="25" t="str">
        <f>Infectologia!$G25/Infectologia!$F25</f>
        <v>#DIV/0!</v>
      </c>
    </row>
    <row r="26" ht="15.75" customHeight="1">
      <c r="B26" s="22">
        <v>23.0</v>
      </c>
      <c r="C26" s="22" t="s">
        <v>167</v>
      </c>
      <c r="D26" s="22" t="s">
        <v>50</v>
      </c>
      <c r="E26" s="22"/>
      <c r="F26" s="22"/>
      <c r="G26" s="22"/>
      <c r="H26" s="25" t="str">
        <f>Infectologia!$G26/Infectologia!$F26</f>
        <v>#DIV/0!</v>
      </c>
    </row>
    <row r="27" ht="15.75" customHeight="1">
      <c r="B27" s="22">
        <v>24.0</v>
      </c>
      <c r="C27" s="22" t="s">
        <v>167</v>
      </c>
      <c r="D27" s="22" t="s">
        <v>52</v>
      </c>
      <c r="E27" s="22"/>
      <c r="F27" s="22"/>
      <c r="G27" s="22"/>
      <c r="H27" s="25" t="str">
        <f>Infectologia!$G27/Infectologia!$F27</f>
        <v>#DIV/0!</v>
      </c>
    </row>
    <row r="28" ht="15.75" customHeight="1">
      <c r="B28" s="22">
        <v>25.0</v>
      </c>
      <c r="C28" s="22" t="s">
        <v>168</v>
      </c>
      <c r="D28" s="22" t="s">
        <v>49</v>
      </c>
      <c r="E28" s="49"/>
      <c r="F28" s="49"/>
      <c r="G28" s="49"/>
      <c r="H28" s="25" t="str">
        <f>Infectologia!$G28/Infectologia!$F28</f>
        <v>#DIV/0!</v>
      </c>
    </row>
    <row r="29" ht="15.75" customHeight="1">
      <c r="B29" s="22">
        <v>26.0</v>
      </c>
      <c r="C29" s="22" t="s">
        <v>168</v>
      </c>
      <c r="D29" s="22" t="s">
        <v>50</v>
      </c>
      <c r="E29" s="49"/>
      <c r="F29" s="22"/>
      <c r="G29" s="22"/>
      <c r="H29" s="25" t="str">
        <f>Infectologia!$G29/Infectologia!$F29</f>
        <v>#DIV/0!</v>
      </c>
    </row>
    <row r="30" ht="15.75" customHeight="1">
      <c r="B30" s="22">
        <v>27.0</v>
      </c>
      <c r="C30" s="22" t="s">
        <v>168</v>
      </c>
      <c r="D30" s="22" t="s">
        <v>52</v>
      </c>
      <c r="E30" s="22"/>
      <c r="F30" s="22"/>
      <c r="G30" s="22"/>
      <c r="H30" s="25" t="str">
        <f>Infectologia!$G30/Infectologia!$F30</f>
        <v>#DIV/0!</v>
      </c>
    </row>
    <row r="31" ht="15.75" customHeight="1">
      <c r="B31" s="22">
        <v>28.0</v>
      </c>
      <c r="C31" s="22" t="s">
        <v>169</v>
      </c>
      <c r="D31" s="22" t="s">
        <v>49</v>
      </c>
      <c r="E31" s="22"/>
      <c r="F31" s="22"/>
      <c r="G31" s="22"/>
      <c r="H31" s="25" t="str">
        <f>Infectologia!$G31/Infectologia!$F31</f>
        <v>#DIV/0!</v>
      </c>
    </row>
    <row r="32" ht="15.75" customHeight="1">
      <c r="B32" s="22">
        <v>29.0</v>
      </c>
      <c r="C32" s="22" t="s">
        <v>169</v>
      </c>
      <c r="D32" s="22" t="s">
        <v>50</v>
      </c>
      <c r="E32" s="49"/>
      <c r="F32" s="22"/>
      <c r="G32" s="22"/>
      <c r="H32" s="25" t="str">
        <f>Infectologia!$G32/Infectologia!$F32</f>
        <v>#DIV/0!</v>
      </c>
    </row>
    <row r="33" ht="15.75" customHeight="1">
      <c r="B33" s="22">
        <v>30.0</v>
      </c>
      <c r="C33" s="22" t="s">
        <v>169</v>
      </c>
      <c r="D33" s="22" t="s">
        <v>101</v>
      </c>
      <c r="E33" s="22"/>
      <c r="F33" s="22"/>
      <c r="G33" s="22"/>
      <c r="H33" s="25" t="str">
        <f>Infectologia!$G33/Infectologia!$F33</f>
        <v>#DIV/0!</v>
      </c>
    </row>
    <row r="34" ht="15.75" customHeight="1">
      <c r="B34" s="22">
        <v>31.0</v>
      </c>
      <c r="C34" s="22" t="s">
        <v>169</v>
      </c>
      <c r="D34" s="22" t="s">
        <v>51</v>
      </c>
      <c r="E34" s="49"/>
      <c r="F34" s="49"/>
      <c r="G34" s="49"/>
      <c r="H34" s="25" t="str">
        <f>Infectologia!$G34/Infectologia!$F34</f>
        <v>#DIV/0!</v>
      </c>
    </row>
    <row r="35" ht="15.75" customHeight="1">
      <c r="B35" s="22">
        <v>32.0</v>
      </c>
      <c r="C35" s="22" t="s">
        <v>169</v>
      </c>
      <c r="D35" s="22" t="s">
        <v>102</v>
      </c>
      <c r="E35" s="22"/>
      <c r="F35" s="22"/>
      <c r="G35" s="22"/>
      <c r="H35" s="25" t="str">
        <f>Infectologia!$G35/Infectologia!$F35</f>
        <v>#DIV/0!</v>
      </c>
    </row>
    <row r="36" ht="15.75" customHeight="1">
      <c r="B36" s="22">
        <v>33.0</v>
      </c>
      <c r="C36" s="22" t="s">
        <v>169</v>
      </c>
      <c r="D36" s="22" t="s">
        <v>103</v>
      </c>
      <c r="E36" s="22"/>
      <c r="F36" s="22"/>
      <c r="G36" s="22"/>
      <c r="H36" s="25" t="str">
        <f>Infectologia!$G36/Infectologia!$F36</f>
        <v>#DIV/0!</v>
      </c>
    </row>
    <row r="37" ht="15.75" customHeight="1">
      <c r="B37" s="22">
        <v>34.0</v>
      </c>
      <c r="C37" s="52" t="s">
        <v>170</v>
      </c>
      <c r="D37" s="22" t="s">
        <v>57</v>
      </c>
      <c r="E37" s="22"/>
      <c r="F37" s="22"/>
      <c r="G37" s="22"/>
      <c r="H37" s="25" t="str">
        <f>Infectologia!$G37/Infectologia!$F37</f>
        <v>#DIV/0!</v>
      </c>
    </row>
    <row r="38" ht="15.75" customHeight="1">
      <c r="B38" s="22">
        <v>35.0</v>
      </c>
      <c r="C38" s="22" t="s">
        <v>171</v>
      </c>
      <c r="D38" s="22" t="s">
        <v>67</v>
      </c>
      <c r="E38" s="22"/>
      <c r="F38" s="22"/>
      <c r="G38" s="22"/>
      <c r="H38" s="25" t="str">
        <f>Infectologia!$G38/Infectologia!$F38</f>
        <v>#DIV/0!</v>
      </c>
    </row>
    <row r="39" ht="15.75" customHeight="1">
      <c r="B39" s="22">
        <v>36.0</v>
      </c>
      <c r="C39" s="22" t="s">
        <v>171</v>
      </c>
      <c r="D39" s="22" t="s">
        <v>52</v>
      </c>
      <c r="E39" s="22"/>
      <c r="F39" s="22"/>
      <c r="G39" s="22"/>
      <c r="H39" s="25" t="str">
        <f>Infectologia!$G39/Infectologia!$F39</f>
        <v>#DIV/0!</v>
      </c>
    </row>
    <row r="40" ht="15.75" customHeight="1">
      <c r="B40" s="22">
        <v>37.0</v>
      </c>
      <c r="C40" s="22" t="s">
        <v>172</v>
      </c>
      <c r="D40" s="22" t="s">
        <v>49</v>
      </c>
      <c r="E40" s="22"/>
      <c r="F40" s="22"/>
      <c r="G40" s="22"/>
      <c r="H40" s="25" t="str">
        <f>Infectologia!$G40/Infectologia!$F40</f>
        <v>#DIV/0!</v>
      </c>
    </row>
    <row r="41" ht="15.75" customHeight="1">
      <c r="B41" s="22">
        <v>38.0</v>
      </c>
      <c r="C41" s="22" t="s">
        <v>172</v>
      </c>
      <c r="D41" s="22" t="s">
        <v>50</v>
      </c>
      <c r="E41" s="22"/>
      <c r="F41" s="22"/>
      <c r="G41" s="22"/>
      <c r="H41" s="25" t="str">
        <f>Infectologia!$G41/Infectologia!$F41</f>
        <v>#DIV/0!</v>
      </c>
    </row>
    <row r="42" ht="15.75" customHeight="1">
      <c r="B42" s="22">
        <v>39.0</v>
      </c>
      <c r="C42" s="52" t="s">
        <v>172</v>
      </c>
      <c r="D42" s="22" t="s">
        <v>52</v>
      </c>
      <c r="E42" s="22"/>
      <c r="F42" s="22"/>
      <c r="G42" s="22"/>
      <c r="H42" s="25" t="str">
        <f>Infectologia!$G42/Infectologia!$F42</f>
        <v>#DIV/0!</v>
      </c>
    </row>
    <row r="43" ht="15.75" customHeight="1">
      <c r="B43" s="22">
        <v>40.0</v>
      </c>
      <c r="C43" s="22" t="s">
        <v>173</v>
      </c>
      <c r="D43" s="22" t="s">
        <v>49</v>
      </c>
      <c r="E43" s="22"/>
      <c r="F43" s="22"/>
      <c r="G43" s="22"/>
      <c r="H43" s="25" t="str">
        <f>Infectologia!$G43/Infectologia!$F43</f>
        <v>#DIV/0!</v>
      </c>
    </row>
    <row r="44" ht="15.75" customHeight="1">
      <c r="B44" s="22">
        <v>41.0</v>
      </c>
      <c r="C44" s="22" t="s">
        <v>173</v>
      </c>
      <c r="D44" s="22" t="s">
        <v>50</v>
      </c>
      <c r="E44" s="22"/>
      <c r="F44" s="22"/>
      <c r="G44" s="22"/>
      <c r="H44" s="25" t="str">
        <f>Infectologia!$G44/Infectologia!$F44</f>
        <v>#DIV/0!</v>
      </c>
    </row>
    <row r="45" ht="15.75" customHeight="1">
      <c r="B45" s="22">
        <v>42.0</v>
      </c>
      <c r="C45" s="52" t="s">
        <v>173</v>
      </c>
      <c r="D45" s="22" t="s">
        <v>52</v>
      </c>
      <c r="E45" s="22"/>
      <c r="F45" s="22"/>
      <c r="G45" s="22"/>
      <c r="H45" s="25" t="str">
        <f>Infectologia!$G45/Infectologia!$F45</f>
        <v>#DIV/0!</v>
      </c>
    </row>
    <row r="46" ht="15.75" customHeight="1">
      <c r="B46" s="22">
        <v>43.0</v>
      </c>
      <c r="C46" s="22" t="s">
        <v>174</v>
      </c>
      <c r="D46" s="22" t="s">
        <v>67</v>
      </c>
      <c r="E46" s="22"/>
      <c r="F46" s="22"/>
      <c r="G46" s="22"/>
      <c r="H46" s="25" t="str">
        <f>Infectologia!$G46/Infectologia!$F46</f>
        <v>#DIV/0!</v>
      </c>
    </row>
    <row r="47" ht="15.75" customHeight="1">
      <c r="B47" s="22">
        <v>44.0</v>
      </c>
      <c r="C47" s="22" t="s">
        <v>174</v>
      </c>
      <c r="D47" s="22" t="s">
        <v>52</v>
      </c>
      <c r="E47" s="22"/>
      <c r="F47" s="22"/>
      <c r="G47" s="22"/>
      <c r="H47" s="25" t="str">
        <f>Infectologia!$G47/Infectologia!$F47</f>
        <v>#DIV/0!</v>
      </c>
    </row>
    <row r="48" ht="15.75" customHeight="1">
      <c r="B48" s="22">
        <v>45.0</v>
      </c>
      <c r="C48" s="52" t="s">
        <v>175</v>
      </c>
      <c r="D48" s="22" t="s">
        <v>57</v>
      </c>
      <c r="E48" s="22"/>
      <c r="F48" s="22"/>
      <c r="G48" s="22"/>
      <c r="H48" s="25" t="str">
        <f>Infectologia!$G48/Infectologia!$F48</f>
        <v>#DIV/0!</v>
      </c>
    </row>
    <row r="49" ht="15.75" customHeight="1">
      <c r="B49" s="9" t="s">
        <v>28</v>
      </c>
      <c r="C49" s="54"/>
      <c r="D49" s="54"/>
      <c r="E49" s="22">
        <f>COUNTA(E4:E48)</f>
        <v>6</v>
      </c>
      <c r="F49" s="22">
        <f t="shared" ref="F49:G49" si="1">SUM(F4:F48)</f>
        <v>158</v>
      </c>
      <c r="G49" s="22">
        <f t="shared" si="1"/>
        <v>124</v>
      </c>
      <c r="H49" s="25">
        <f>Infectologia!$G49/Infectologia!$F49</f>
        <v>0.7848101266</v>
      </c>
    </row>
    <row r="50" ht="15.75" customHeight="1">
      <c r="B50" s="55"/>
      <c r="C50" s="55"/>
      <c r="D50" s="55"/>
      <c r="E50" s="55"/>
      <c r="F50" s="55"/>
      <c r="G50" s="55"/>
      <c r="H50" s="55"/>
    </row>
    <row r="51" ht="15.75" customHeight="1">
      <c r="B51" s="55"/>
      <c r="C51" s="55"/>
      <c r="D51" s="55"/>
      <c r="E51" s="55"/>
      <c r="F51" s="55"/>
      <c r="G51" s="55"/>
      <c r="H51" s="55"/>
    </row>
    <row r="52" ht="15.75" customHeight="1">
      <c r="B52" s="55"/>
      <c r="C52" s="55"/>
      <c r="D52" s="55"/>
      <c r="E52" s="55"/>
      <c r="F52" s="55"/>
      <c r="G52" s="55"/>
      <c r="H52" s="55"/>
    </row>
    <row r="53" ht="15.75" customHeight="1">
      <c r="B53" s="55"/>
      <c r="C53" s="55"/>
      <c r="D53" s="55"/>
      <c r="E53" s="55"/>
      <c r="F53" s="55"/>
      <c r="G53" s="55"/>
      <c r="H53" s="5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48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48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8.57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176</v>
      </c>
      <c r="D4" s="22" t="s">
        <v>49</v>
      </c>
      <c r="E4" s="49"/>
      <c r="F4" s="49"/>
      <c r="G4" s="49"/>
      <c r="H4" s="25" t="str">
        <f>'Obstetrícia'!$G4/'Obstetrícia'!$F4</f>
        <v>#DIV/0!</v>
      </c>
    </row>
    <row r="5">
      <c r="B5" s="22">
        <v>2.0</v>
      </c>
      <c r="C5" s="22" t="s">
        <v>176</v>
      </c>
      <c r="D5" s="22" t="s">
        <v>50</v>
      </c>
      <c r="E5" s="49"/>
      <c r="F5" s="49"/>
      <c r="G5" s="49"/>
      <c r="H5" s="25" t="str">
        <f>'Obstetrícia'!$G5/'Obstetrícia'!$F5</f>
        <v>#DIV/0!</v>
      </c>
      <c r="I5" s="50"/>
      <c r="J5" s="50"/>
    </row>
    <row r="6">
      <c r="B6" s="22">
        <v>3.0</v>
      </c>
      <c r="C6" s="22" t="s">
        <v>176</v>
      </c>
      <c r="D6" s="22" t="s">
        <v>51</v>
      </c>
      <c r="E6" s="49"/>
      <c r="F6" s="49"/>
      <c r="G6" s="49"/>
      <c r="H6" s="25" t="str">
        <f>'Obstetrícia'!$G6/'Obstetrícia'!$F6</f>
        <v>#DIV/0!</v>
      </c>
    </row>
    <row r="7" ht="24.0" customHeight="1">
      <c r="B7" s="22">
        <v>4.0</v>
      </c>
      <c r="C7" s="22" t="s">
        <v>176</v>
      </c>
      <c r="D7" s="22" t="s">
        <v>52</v>
      </c>
      <c r="E7" s="49"/>
      <c r="F7" s="49"/>
      <c r="G7" s="49"/>
      <c r="H7" s="25" t="str">
        <f>'Obstetrícia'!$G7/'Obstetrícia'!$F7</f>
        <v>#DIV/0!</v>
      </c>
    </row>
    <row r="8">
      <c r="B8" s="22">
        <v>5.0</v>
      </c>
      <c r="C8" s="22" t="s">
        <v>177</v>
      </c>
      <c r="D8" s="22" t="s">
        <v>49</v>
      </c>
      <c r="E8" s="49"/>
      <c r="F8" s="49"/>
      <c r="G8" s="49"/>
      <c r="H8" s="25" t="str">
        <f>'Obstetrícia'!$G8/'Obstetrícia'!$F8</f>
        <v>#DIV/0!</v>
      </c>
    </row>
    <row r="9">
      <c r="B9" s="22">
        <v>6.0</v>
      </c>
      <c r="C9" s="22" t="s">
        <v>177</v>
      </c>
      <c r="D9" s="22" t="s">
        <v>50</v>
      </c>
      <c r="E9" s="49"/>
      <c r="F9" s="22"/>
      <c r="G9" s="22"/>
      <c r="H9" s="25" t="str">
        <f>'Obstetrícia'!$G9/'Obstetrícia'!$F9</f>
        <v>#DIV/0!</v>
      </c>
    </row>
    <row r="10">
      <c r="B10" s="22">
        <v>7.0</v>
      </c>
      <c r="C10" s="22" t="s">
        <v>177</v>
      </c>
      <c r="D10" s="22" t="s">
        <v>51</v>
      </c>
      <c r="E10" s="22"/>
      <c r="F10" s="22"/>
      <c r="G10" s="22"/>
      <c r="H10" s="25" t="str">
        <f>'Obstetrícia'!$G10/'Obstetrícia'!$F10</f>
        <v>#DIV/0!</v>
      </c>
    </row>
    <row r="11">
      <c r="B11" s="22">
        <v>8.0</v>
      </c>
      <c r="C11" s="22" t="s">
        <v>177</v>
      </c>
      <c r="D11" s="22" t="s">
        <v>52</v>
      </c>
      <c r="E11" s="22"/>
      <c r="F11" s="22"/>
      <c r="G11" s="22"/>
      <c r="H11" s="25" t="str">
        <f>'Obstetrícia'!$G11/'Obstetrícia'!$F11</f>
        <v>#DIV/0!</v>
      </c>
    </row>
    <row r="12">
      <c r="B12" s="22">
        <v>9.0</v>
      </c>
      <c r="C12" s="52" t="s">
        <v>178</v>
      </c>
      <c r="D12" s="22" t="s">
        <v>49</v>
      </c>
      <c r="E12" s="53" t="s">
        <v>40</v>
      </c>
      <c r="F12" s="53">
        <v>28.0</v>
      </c>
      <c r="G12" s="53">
        <v>25.0</v>
      </c>
      <c r="H12" s="25">
        <f>'Obstetrícia'!$G12/'Obstetrícia'!$F12</f>
        <v>0.8928571429</v>
      </c>
    </row>
    <row r="13">
      <c r="B13" s="22">
        <v>10.0</v>
      </c>
      <c r="C13" s="22" t="s">
        <v>178</v>
      </c>
      <c r="D13" s="22" t="s">
        <v>50</v>
      </c>
      <c r="E13" s="22"/>
      <c r="F13" s="22"/>
      <c r="G13" s="22"/>
      <c r="H13" s="25" t="str">
        <f>'Obstetrícia'!$G13/'Obstetrícia'!$F13</f>
        <v>#DIV/0!</v>
      </c>
    </row>
    <row r="14">
      <c r="B14" s="22">
        <v>11.0</v>
      </c>
      <c r="C14" s="22" t="s">
        <v>178</v>
      </c>
      <c r="D14" s="22" t="s">
        <v>52</v>
      </c>
      <c r="E14" s="22"/>
      <c r="F14" s="22"/>
      <c r="G14" s="22"/>
      <c r="H14" s="25" t="str">
        <f>'Obstetrícia'!$G14/'Obstetrícia'!$F14</f>
        <v>#DIV/0!</v>
      </c>
    </row>
    <row r="15">
      <c r="B15" s="22">
        <v>12.0</v>
      </c>
      <c r="C15" s="52" t="s">
        <v>179</v>
      </c>
      <c r="D15" s="22" t="s">
        <v>49</v>
      </c>
      <c r="E15" s="53" t="s">
        <v>40</v>
      </c>
      <c r="F15" s="53">
        <v>17.0</v>
      </c>
      <c r="G15" s="53">
        <v>15.0</v>
      </c>
      <c r="H15" s="25">
        <f>'Obstetrícia'!$G15/'Obstetrícia'!$F15</f>
        <v>0.8823529412</v>
      </c>
    </row>
    <row r="16">
      <c r="B16" s="22">
        <v>13.0</v>
      </c>
      <c r="C16" s="52" t="s">
        <v>179</v>
      </c>
      <c r="D16" s="22" t="s">
        <v>50</v>
      </c>
      <c r="E16" s="53" t="s">
        <v>40</v>
      </c>
      <c r="F16" s="53">
        <v>20.0</v>
      </c>
      <c r="G16" s="53">
        <v>15.0</v>
      </c>
      <c r="H16" s="25">
        <f>'Obstetrícia'!$G16/'Obstetrícia'!$F16</f>
        <v>0.75</v>
      </c>
    </row>
    <row r="17">
      <c r="B17" s="22">
        <v>14.0</v>
      </c>
      <c r="C17" s="52" t="s">
        <v>179</v>
      </c>
      <c r="D17" s="22" t="s">
        <v>51</v>
      </c>
      <c r="E17" s="53" t="s">
        <v>40</v>
      </c>
      <c r="F17" s="53">
        <v>22.0</v>
      </c>
      <c r="G17" s="53">
        <v>21.0</v>
      </c>
      <c r="H17" s="25">
        <f>'Obstetrícia'!$G17/'Obstetrícia'!$F17</f>
        <v>0.9545454545</v>
      </c>
    </row>
    <row r="18">
      <c r="B18" s="22">
        <v>15.0</v>
      </c>
      <c r="C18" s="52" t="s">
        <v>179</v>
      </c>
      <c r="D18" s="22" t="s">
        <v>52</v>
      </c>
      <c r="E18" s="53" t="s">
        <v>40</v>
      </c>
      <c r="F18" s="53">
        <v>48.0</v>
      </c>
      <c r="G18" s="53">
        <v>39.0</v>
      </c>
      <c r="H18" s="25">
        <f>'Obstetrícia'!$G18/'Obstetrícia'!$F18</f>
        <v>0.8125</v>
      </c>
    </row>
    <row r="19">
      <c r="B19" s="22">
        <v>16.0</v>
      </c>
      <c r="C19" s="52" t="s">
        <v>180</v>
      </c>
      <c r="D19" s="22" t="s">
        <v>57</v>
      </c>
      <c r="E19" s="22"/>
      <c r="F19" s="22"/>
      <c r="G19" s="22"/>
      <c r="H19" s="25" t="str">
        <f>'Obstetrícia'!$G19/'Obstetrícia'!$F19</f>
        <v>#DIV/0!</v>
      </c>
    </row>
    <row r="20">
      <c r="B20" s="22">
        <v>17.0</v>
      </c>
      <c r="C20" s="22" t="s">
        <v>181</v>
      </c>
      <c r="D20" s="22" t="s">
        <v>49</v>
      </c>
      <c r="E20" s="49"/>
      <c r="F20" s="49"/>
      <c r="G20" s="49"/>
      <c r="H20" s="25" t="str">
        <f>'Obstetrícia'!$G20/'Obstetrícia'!$F20</f>
        <v>#DIV/0!</v>
      </c>
    </row>
    <row r="21" ht="15.75" customHeight="1">
      <c r="B21" s="22">
        <v>18.0</v>
      </c>
      <c r="C21" s="22" t="s">
        <v>181</v>
      </c>
      <c r="D21" s="22" t="s">
        <v>50</v>
      </c>
      <c r="E21" s="49"/>
      <c r="F21" s="49"/>
      <c r="G21" s="49"/>
      <c r="H21" s="25" t="str">
        <f>'Obstetrícia'!$G21/'Obstetrícia'!$F21</f>
        <v>#DIV/0!</v>
      </c>
    </row>
    <row r="22" ht="15.75" customHeight="1">
      <c r="B22" s="22">
        <v>19.0</v>
      </c>
      <c r="C22" s="22" t="s">
        <v>181</v>
      </c>
      <c r="D22" s="22" t="s">
        <v>51</v>
      </c>
      <c r="E22" s="49"/>
      <c r="F22" s="49"/>
      <c r="G22" s="49"/>
      <c r="H22" s="25" t="str">
        <f>'Obstetrícia'!$G22/'Obstetrícia'!$F22</f>
        <v>#DIV/0!</v>
      </c>
    </row>
    <row r="23" ht="15.75" customHeight="1">
      <c r="B23" s="22">
        <v>20.0</v>
      </c>
      <c r="C23" s="22" t="s">
        <v>181</v>
      </c>
      <c r="D23" s="22" t="s">
        <v>52</v>
      </c>
      <c r="E23" s="22"/>
      <c r="F23" s="22"/>
      <c r="G23" s="22"/>
      <c r="H23" s="25" t="str">
        <f>'Obstetrícia'!$G23/'Obstetrícia'!$F23</f>
        <v>#DIV/0!</v>
      </c>
    </row>
    <row r="24" ht="15.75" customHeight="1">
      <c r="B24" s="22">
        <v>21.0</v>
      </c>
      <c r="C24" s="22" t="s">
        <v>182</v>
      </c>
      <c r="D24" s="22" t="s">
        <v>49</v>
      </c>
      <c r="E24" s="49"/>
      <c r="F24" s="49"/>
      <c r="G24" s="49"/>
      <c r="H24" s="25" t="str">
        <f>'Obstetrícia'!$G24/'Obstetrícia'!$F24</f>
        <v>#DIV/0!</v>
      </c>
    </row>
    <row r="25" ht="15.75" customHeight="1">
      <c r="B25" s="22">
        <v>22.0</v>
      </c>
      <c r="C25" s="22" t="s">
        <v>182</v>
      </c>
      <c r="D25" s="22" t="s">
        <v>50</v>
      </c>
      <c r="E25" s="49"/>
      <c r="F25" s="49"/>
      <c r="G25" s="49"/>
      <c r="H25" s="25" t="str">
        <f>'Obstetrícia'!$G25/'Obstetrícia'!$F25</f>
        <v>#DIV/0!</v>
      </c>
    </row>
    <row r="26" ht="15.75" customHeight="1">
      <c r="B26" s="22">
        <v>23.0</v>
      </c>
      <c r="C26" s="22" t="s">
        <v>182</v>
      </c>
      <c r="D26" s="22" t="s">
        <v>51</v>
      </c>
      <c r="E26" s="49"/>
      <c r="F26" s="22"/>
      <c r="G26" s="22"/>
      <c r="H26" s="25" t="str">
        <f>'Obstetrícia'!$G26/'Obstetrícia'!$F26</f>
        <v>#DIV/0!</v>
      </c>
    </row>
    <row r="27" ht="15.75" customHeight="1">
      <c r="B27" s="22">
        <v>24.0</v>
      </c>
      <c r="C27" s="22" t="s">
        <v>182</v>
      </c>
      <c r="D27" s="22" t="s">
        <v>52</v>
      </c>
      <c r="E27" s="49"/>
      <c r="F27" s="22"/>
      <c r="G27" s="22"/>
      <c r="H27" s="25" t="str">
        <f>'Obstetrícia'!$G27/'Obstetrícia'!$F27</f>
        <v>#DIV/0!</v>
      </c>
    </row>
    <row r="28" ht="15.75" customHeight="1">
      <c r="B28" s="22">
        <v>25.0</v>
      </c>
      <c r="C28" s="22" t="s">
        <v>183</v>
      </c>
      <c r="D28" s="22" t="s">
        <v>67</v>
      </c>
      <c r="E28" s="49"/>
      <c r="F28" s="22"/>
      <c r="G28" s="22"/>
      <c r="H28" s="25" t="str">
        <f>'Obstetrícia'!$G28/'Obstetrícia'!$F28</f>
        <v>#DIV/0!</v>
      </c>
    </row>
    <row r="29" ht="15.75" customHeight="1">
      <c r="B29" s="22">
        <v>26.0</v>
      </c>
      <c r="C29" s="22" t="s">
        <v>183</v>
      </c>
      <c r="D29" s="22" t="s">
        <v>52</v>
      </c>
      <c r="E29" s="22"/>
      <c r="F29" s="22"/>
      <c r="G29" s="22"/>
      <c r="H29" s="25" t="str">
        <f>'Obstetrícia'!$G29/'Obstetrícia'!$F29</f>
        <v>#DIV/0!</v>
      </c>
    </row>
    <row r="30" ht="15.75" customHeight="1">
      <c r="B30" s="22">
        <v>27.0</v>
      </c>
      <c r="C30" s="22" t="s">
        <v>184</v>
      </c>
      <c r="D30" s="22" t="s">
        <v>67</v>
      </c>
      <c r="E30" s="22"/>
      <c r="F30" s="22"/>
      <c r="G30" s="22"/>
      <c r="H30" s="25" t="str">
        <f>'Obstetrícia'!$G30/'Obstetrícia'!$F30</f>
        <v>#DIV/0!</v>
      </c>
    </row>
    <row r="31" ht="15.75" customHeight="1">
      <c r="B31" s="22">
        <v>28.0</v>
      </c>
      <c r="C31" s="22" t="s">
        <v>185</v>
      </c>
      <c r="D31" s="22" t="s">
        <v>49</v>
      </c>
      <c r="E31" s="49"/>
      <c r="F31" s="49"/>
      <c r="G31" s="49"/>
      <c r="H31" s="25" t="str">
        <f>'Obstetrícia'!$G31/'Obstetrícia'!$F31</f>
        <v>#DIV/0!</v>
      </c>
    </row>
    <row r="32" ht="15.75" customHeight="1">
      <c r="B32" s="22">
        <v>29.0</v>
      </c>
      <c r="C32" s="22" t="s">
        <v>185</v>
      </c>
      <c r="D32" s="22" t="s">
        <v>50</v>
      </c>
      <c r="E32" s="49"/>
      <c r="F32" s="49"/>
      <c r="G32" s="49"/>
      <c r="H32" s="25" t="str">
        <f>'Obstetrícia'!$G32/'Obstetrícia'!$F32</f>
        <v>#DIV/0!</v>
      </c>
    </row>
    <row r="33" ht="15.75" customHeight="1">
      <c r="B33" s="22">
        <v>30.0</v>
      </c>
      <c r="C33" s="22" t="s">
        <v>185</v>
      </c>
      <c r="D33" s="22" t="s">
        <v>51</v>
      </c>
      <c r="E33" s="49"/>
      <c r="F33" s="49"/>
      <c r="G33" s="49"/>
      <c r="H33" s="25" t="str">
        <f>'Obstetrícia'!$G33/'Obstetrícia'!$F33</f>
        <v>#DIV/0!</v>
      </c>
    </row>
    <row r="34" ht="15.75" customHeight="1">
      <c r="B34" s="22">
        <v>31.0</v>
      </c>
      <c r="C34" s="22" t="s">
        <v>185</v>
      </c>
      <c r="D34" s="22" t="s">
        <v>101</v>
      </c>
      <c r="E34" s="22"/>
      <c r="F34" s="22"/>
      <c r="G34" s="22"/>
      <c r="H34" s="25" t="str">
        <f>'Obstetrícia'!$G34/'Obstetrícia'!$F34</f>
        <v>#DIV/0!</v>
      </c>
    </row>
    <row r="35" ht="15.75" customHeight="1">
      <c r="B35" s="22">
        <v>32.0</v>
      </c>
      <c r="C35" s="22" t="s">
        <v>185</v>
      </c>
      <c r="D35" s="22" t="s">
        <v>102</v>
      </c>
      <c r="E35" s="49"/>
      <c r="F35" s="49"/>
      <c r="G35" s="49"/>
      <c r="H35" s="25" t="str">
        <f>'Obstetrícia'!$G35/'Obstetrícia'!$F35</f>
        <v>#DIV/0!</v>
      </c>
    </row>
    <row r="36" ht="15.75" customHeight="1">
      <c r="B36" s="22">
        <v>33.0</v>
      </c>
      <c r="C36" s="22" t="s">
        <v>185</v>
      </c>
      <c r="D36" s="22" t="s">
        <v>119</v>
      </c>
      <c r="E36" s="49"/>
      <c r="F36" s="22"/>
      <c r="G36" s="22"/>
      <c r="H36" s="25" t="str">
        <f>'Obstetrícia'!$G36/'Obstetrícia'!$F36</f>
        <v>#DIV/0!</v>
      </c>
    </row>
    <row r="37" ht="15.75" customHeight="1">
      <c r="B37" s="22">
        <v>34.0</v>
      </c>
      <c r="C37" s="22" t="s">
        <v>185</v>
      </c>
      <c r="D37" s="22" t="s">
        <v>52</v>
      </c>
      <c r="E37" s="22"/>
      <c r="F37" s="22"/>
      <c r="G37" s="22"/>
      <c r="H37" s="25" t="str">
        <f>'Obstetrícia'!$G37/'Obstetrícia'!$F37</f>
        <v>#DIV/0!</v>
      </c>
    </row>
    <row r="38" ht="15.75" customHeight="1">
      <c r="B38" s="22">
        <v>35.0</v>
      </c>
      <c r="C38" s="52" t="s">
        <v>186</v>
      </c>
      <c r="D38" s="22" t="s">
        <v>57</v>
      </c>
      <c r="E38" s="22"/>
      <c r="F38" s="22"/>
      <c r="G38" s="22"/>
      <c r="H38" s="25" t="str">
        <f>'Obstetrícia'!$G38/'Obstetrícia'!$F38</f>
        <v>#DIV/0!</v>
      </c>
    </row>
    <row r="39" ht="15.75" customHeight="1">
      <c r="B39" s="22">
        <v>36.0</v>
      </c>
      <c r="C39" s="22" t="s">
        <v>187</v>
      </c>
      <c r="D39" s="22" t="s">
        <v>49</v>
      </c>
      <c r="E39" s="49"/>
      <c r="F39" s="22"/>
      <c r="G39" s="22"/>
      <c r="H39" s="25" t="str">
        <f>'Obstetrícia'!$G39/'Obstetrícia'!$F39</f>
        <v>#DIV/0!</v>
      </c>
    </row>
    <row r="40" ht="15.75" customHeight="1">
      <c r="B40" s="22">
        <v>37.0</v>
      </c>
      <c r="C40" s="22" t="s">
        <v>187</v>
      </c>
      <c r="D40" s="22" t="s">
        <v>50</v>
      </c>
      <c r="E40" s="49"/>
      <c r="F40" s="49"/>
      <c r="G40" s="49"/>
      <c r="H40" s="25" t="str">
        <f>'Obstetrícia'!$G40/'Obstetrícia'!$F40</f>
        <v>#DIV/0!</v>
      </c>
    </row>
    <row r="41" ht="15.75" customHeight="1">
      <c r="B41" s="22">
        <v>38.0</v>
      </c>
      <c r="C41" s="22" t="s">
        <v>187</v>
      </c>
      <c r="D41" s="22" t="s">
        <v>52</v>
      </c>
      <c r="E41" s="22"/>
      <c r="F41" s="22"/>
      <c r="G41" s="22"/>
      <c r="H41" s="25" t="str">
        <f>'Obstetrícia'!$G41/'Obstetrícia'!$F41</f>
        <v>#DIV/0!</v>
      </c>
    </row>
    <row r="42" ht="15.75" customHeight="1">
      <c r="B42" s="22">
        <v>39.0</v>
      </c>
      <c r="C42" s="52" t="s">
        <v>188</v>
      </c>
      <c r="D42" s="22" t="s">
        <v>67</v>
      </c>
      <c r="E42" s="49"/>
      <c r="F42" s="22"/>
      <c r="G42" s="22"/>
      <c r="H42" s="25" t="str">
        <f>'Obstetrícia'!$G42/'Obstetrícia'!$F42</f>
        <v>#DIV/0!</v>
      </c>
    </row>
    <row r="43" ht="15.75" customHeight="1">
      <c r="B43" s="22">
        <v>40.0</v>
      </c>
      <c r="C43" s="22" t="s">
        <v>189</v>
      </c>
      <c r="D43" s="22" t="s">
        <v>67</v>
      </c>
      <c r="E43" s="49"/>
      <c r="F43" s="22"/>
      <c r="G43" s="22"/>
      <c r="H43" s="25" t="str">
        <f>'Obstetrícia'!$G43/'Obstetrícia'!$F43</f>
        <v>#DIV/0!</v>
      </c>
    </row>
    <row r="44" ht="15.75" customHeight="1">
      <c r="B44" s="22">
        <v>41.0</v>
      </c>
      <c r="C44" s="22" t="s">
        <v>189</v>
      </c>
      <c r="D44" s="22" t="s">
        <v>52</v>
      </c>
      <c r="E44" s="22"/>
      <c r="F44" s="22"/>
      <c r="G44" s="22"/>
      <c r="H44" s="25" t="str">
        <f>'Obstetrícia'!$G44/'Obstetrícia'!$F44</f>
        <v>#DIV/0!</v>
      </c>
    </row>
    <row r="45" ht="15.75" customHeight="1">
      <c r="B45" s="22">
        <v>42.0</v>
      </c>
      <c r="C45" s="52" t="s">
        <v>190</v>
      </c>
      <c r="D45" s="22" t="s">
        <v>67</v>
      </c>
      <c r="E45" s="22"/>
      <c r="F45" s="22"/>
      <c r="G45" s="22"/>
      <c r="H45" s="25" t="str">
        <f>'Obstetrícia'!$G45/'Obstetrícia'!$F45</f>
        <v>#DIV/0!</v>
      </c>
    </row>
    <row r="46" ht="15.75" customHeight="1">
      <c r="B46" s="22">
        <v>43.0</v>
      </c>
      <c r="C46" s="22" t="s">
        <v>191</v>
      </c>
      <c r="D46" s="22" t="s">
        <v>49</v>
      </c>
      <c r="E46" s="49"/>
      <c r="F46" s="49"/>
      <c r="G46" s="49"/>
      <c r="H46" s="25" t="str">
        <f>'Obstetrícia'!$G46/'Obstetrícia'!$F46</f>
        <v>#DIV/0!</v>
      </c>
    </row>
    <row r="47" ht="15.75" customHeight="1">
      <c r="B47" s="22">
        <v>44.0</v>
      </c>
      <c r="C47" s="22" t="s">
        <v>191</v>
      </c>
      <c r="D47" s="22" t="s">
        <v>50</v>
      </c>
      <c r="E47" s="49"/>
      <c r="F47" s="49"/>
      <c r="G47" s="49"/>
      <c r="H47" s="25" t="str">
        <f>'Obstetrícia'!$G47/'Obstetrícia'!$F47</f>
        <v>#DIV/0!</v>
      </c>
    </row>
    <row r="48" ht="15.75" customHeight="1">
      <c r="B48" s="22">
        <v>45.0</v>
      </c>
      <c r="C48" s="22" t="s">
        <v>191</v>
      </c>
      <c r="D48" s="22" t="s">
        <v>52</v>
      </c>
      <c r="E48" s="22"/>
      <c r="F48" s="22"/>
      <c r="G48" s="22"/>
      <c r="H48" s="25" t="str">
        <f>'Obstetrícia'!$G48/'Obstetrícia'!$F48</f>
        <v>#DIV/0!</v>
      </c>
    </row>
    <row r="49" ht="15.75" customHeight="1">
      <c r="B49" s="22">
        <v>46.0</v>
      </c>
      <c r="C49" s="22" t="s">
        <v>192</v>
      </c>
      <c r="D49" s="22" t="s">
        <v>49</v>
      </c>
      <c r="E49" s="49"/>
      <c r="F49" s="22"/>
      <c r="G49" s="22"/>
      <c r="H49" s="25" t="str">
        <f>'Obstetrícia'!$G49/'Obstetrícia'!$F49</f>
        <v>#DIV/0!</v>
      </c>
    </row>
    <row r="50" ht="15.75" customHeight="1">
      <c r="B50" s="22">
        <v>47.0</v>
      </c>
      <c r="C50" s="22" t="s">
        <v>192</v>
      </c>
      <c r="D50" s="22" t="s">
        <v>50</v>
      </c>
      <c r="E50" s="49"/>
      <c r="F50" s="49"/>
      <c r="G50" s="49"/>
      <c r="H50" s="25" t="str">
        <f>'Obstetrícia'!$G50/'Obstetrícia'!$F50</f>
        <v>#DIV/0!</v>
      </c>
    </row>
    <row r="51" ht="15.75" customHeight="1">
      <c r="B51" s="22">
        <v>48.0</v>
      </c>
      <c r="C51" s="22" t="s">
        <v>192</v>
      </c>
      <c r="D51" s="22" t="s">
        <v>52</v>
      </c>
      <c r="E51" s="49"/>
      <c r="F51" s="49"/>
      <c r="G51" s="49"/>
      <c r="H51" s="25" t="str">
        <f>'Obstetrícia'!$G51/'Obstetrícia'!$F51</f>
        <v>#DIV/0!</v>
      </c>
    </row>
    <row r="52" ht="15.75" customHeight="1">
      <c r="B52" s="22">
        <v>49.0</v>
      </c>
      <c r="C52" s="52" t="s">
        <v>193</v>
      </c>
      <c r="D52" s="22" t="s">
        <v>57</v>
      </c>
      <c r="E52" s="22"/>
      <c r="F52" s="22"/>
      <c r="G52" s="22"/>
      <c r="H52" s="25" t="str">
        <f>'Obstetrícia'!$G52/'Obstetrícia'!$F52</f>
        <v>#DIV/0!</v>
      </c>
    </row>
    <row r="53" ht="15.75" customHeight="1">
      <c r="B53" s="22">
        <v>50.0</v>
      </c>
      <c r="C53" s="22" t="s">
        <v>194</v>
      </c>
      <c r="D53" s="22" t="s">
        <v>67</v>
      </c>
      <c r="E53" s="22"/>
      <c r="F53" s="22"/>
      <c r="G53" s="22"/>
      <c r="H53" s="25" t="str">
        <f>'Obstetrícia'!$G53/'Obstetrícia'!$F53</f>
        <v>#DIV/0!</v>
      </c>
    </row>
    <row r="54" ht="15.75" customHeight="1">
      <c r="B54" s="22">
        <v>51.0</v>
      </c>
      <c r="C54" s="22" t="s">
        <v>194</v>
      </c>
      <c r="D54" s="22" t="s">
        <v>52</v>
      </c>
      <c r="E54" s="22"/>
      <c r="F54" s="22"/>
      <c r="G54" s="22"/>
      <c r="H54" s="25" t="str">
        <f>'Obstetrícia'!$G54/'Obstetrícia'!$F54</f>
        <v>#DIV/0!</v>
      </c>
    </row>
    <row r="55" ht="15.75" customHeight="1">
      <c r="B55" s="22">
        <v>52.0</v>
      </c>
      <c r="C55" s="22" t="s">
        <v>195</v>
      </c>
      <c r="D55" s="22" t="s">
        <v>49</v>
      </c>
      <c r="E55" s="49"/>
      <c r="F55" s="49"/>
      <c r="G55" s="49"/>
      <c r="H55" s="25" t="str">
        <f>'Obstetrícia'!$G55/'Obstetrícia'!$F55</f>
        <v>#DIV/0!</v>
      </c>
    </row>
    <row r="56" ht="15.75" customHeight="1">
      <c r="B56" s="22">
        <v>53.0</v>
      </c>
      <c r="C56" s="22" t="s">
        <v>195</v>
      </c>
      <c r="D56" s="22" t="s">
        <v>50</v>
      </c>
      <c r="E56" s="22"/>
      <c r="F56" s="22"/>
      <c r="G56" s="22"/>
      <c r="H56" s="25" t="str">
        <f>'Obstetrícia'!$G56/'Obstetrícia'!$F56</f>
        <v>#DIV/0!</v>
      </c>
    </row>
    <row r="57" ht="15.75" customHeight="1">
      <c r="B57" s="22">
        <v>54.0</v>
      </c>
      <c r="C57" s="52" t="s">
        <v>195</v>
      </c>
      <c r="D57" s="22" t="s">
        <v>52</v>
      </c>
      <c r="E57" s="22"/>
      <c r="F57" s="22"/>
      <c r="G57" s="22"/>
      <c r="H57" s="25" t="str">
        <f>'Obstetrícia'!$G57/'Obstetrícia'!$F57</f>
        <v>#DIV/0!</v>
      </c>
    </row>
    <row r="58" ht="15.75" customHeight="1">
      <c r="B58" s="22">
        <v>55.0</v>
      </c>
      <c r="C58" s="52" t="s">
        <v>196</v>
      </c>
      <c r="D58" s="22" t="s">
        <v>49</v>
      </c>
      <c r="E58" s="49"/>
      <c r="F58" s="49"/>
      <c r="G58" s="49"/>
      <c r="H58" s="25" t="str">
        <f>'Obstetrícia'!$G58/'Obstetrícia'!$F58</f>
        <v>#DIV/0!</v>
      </c>
    </row>
    <row r="59" ht="15.75" customHeight="1">
      <c r="B59" s="22">
        <v>56.0</v>
      </c>
      <c r="C59" s="22" t="s">
        <v>196</v>
      </c>
      <c r="D59" s="22" t="s">
        <v>50</v>
      </c>
      <c r="E59" s="22"/>
      <c r="F59" s="22"/>
      <c r="G59" s="22"/>
      <c r="H59" s="25" t="str">
        <f>'Obstetrícia'!$G59/'Obstetrícia'!$F59</f>
        <v>#DIV/0!</v>
      </c>
    </row>
    <row r="60" ht="15.75" customHeight="1">
      <c r="B60" s="22">
        <v>57.0</v>
      </c>
      <c r="C60" s="22" t="s">
        <v>196</v>
      </c>
      <c r="D60" s="22" t="s">
        <v>52</v>
      </c>
      <c r="E60" s="22"/>
      <c r="F60" s="22"/>
      <c r="G60" s="22"/>
      <c r="H60" s="25" t="str">
        <f>'Obstetrícia'!$G60/'Obstetrícia'!$F60</f>
        <v>#DIV/0!</v>
      </c>
    </row>
    <row r="61" ht="15.75" customHeight="1">
      <c r="B61" s="22">
        <v>58.0</v>
      </c>
      <c r="C61" s="22" t="s">
        <v>197</v>
      </c>
      <c r="D61" s="22" t="s">
        <v>49</v>
      </c>
      <c r="E61" s="22"/>
      <c r="F61" s="22"/>
      <c r="G61" s="22"/>
      <c r="H61" s="25" t="str">
        <f>'Obstetrícia'!$G61/'Obstetrícia'!$F61</f>
        <v>#DIV/0!</v>
      </c>
    </row>
    <row r="62" ht="15.75" customHeight="1">
      <c r="B62" s="22">
        <v>59.0</v>
      </c>
      <c r="C62" s="22" t="s">
        <v>197</v>
      </c>
      <c r="D62" s="22" t="s">
        <v>50</v>
      </c>
      <c r="E62" s="22"/>
      <c r="F62" s="22"/>
      <c r="G62" s="22"/>
      <c r="H62" s="25" t="str">
        <f>'Obstetrícia'!$G62/'Obstetrícia'!$F62</f>
        <v>#DIV/0!</v>
      </c>
    </row>
    <row r="63" ht="15.75" customHeight="1">
      <c r="B63" s="22">
        <v>60.0</v>
      </c>
      <c r="C63" s="22" t="s">
        <v>197</v>
      </c>
      <c r="D63" s="22" t="s">
        <v>52</v>
      </c>
      <c r="E63" s="22"/>
      <c r="F63" s="22"/>
      <c r="G63" s="22"/>
      <c r="H63" s="25" t="str">
        <f>'Obstetrícia'!$G63/'Obstetrícia'!$F63</f>
        <v>#DIV/0!</v>
      </c>
    </row>
    <row r="64" ht="15.75" customHeight="1">
      <c r="B64" s="22">
        <v>61.0</v>
      </c>
      <c r="C64" s="52" t="s">
        <v>198</v>
      </c>
      <c r="D64" s="22" t="s">
        <v>57</v>
      </c>
      <c r="E64" s="22"/>
      <c r="F64" s="22"/>
      <c r="G64" s="22"/>
      <c r="H64" s="25" t="str">
        <f>'Obstetrícia'!$G64/'Obstetrícia'!$F64</f>
        <v>#DIV/0!</v>
      </c>
    </row>
    <row r="65" ht="15.75" customHeight="1">
      <c r="B65" s="9" t="s">
        <v>28</v>
      </c>
      <c r="C65" s="54"/>
      <c r="D65" s="54"/>
      <c r="E65" s="22">
        <f>COUNTA(E4:E64)</f>
        <v>5</v>
      </c>
      <c r="F65" s="22">
        <f t="shared" ref="F65:G65" si="1">SUM(F4:F64)</f>
        <v>135</v>
      </c>
      <c r="G65" s="22">
        <f t="shared" si="1"/>
        <v>115</v>
      </c>
      <c r="H65" s="25">
        <f>'Obstetrícia'!$G65/'Obstetrícia'!$F65</f>
        <v>0.8518518519</v>
      </c>
    </row>
    <row r="66" ht="15.75" customHeight="1">
      <c r="B66" s="55"/>
      <c r="C66" s="55"/>
      <c r="D66" s="55"/>
      <c r="E66" s="55"/>
      <c r="F66" s="55"/>
      <c r="G66" s="55"/>
      <c r="H66" s="55"/>
    </row>
    <row r="67" ht="15.75" customHeight="1">
      <c r="B67" s="55"/>
      <c r="C67" s="55"/>
      <c r="D67" s="55"/>
      <c r="E67" s="55"/>
      <c r="F67" s="55"/>
      <c r="G67" s="55"/>
      <c r="H67" s="55"/>
    </row>
    <row r="68" ht="15.75" customHeight="1">
      <c r="B68" s="55"/>
      <c r="C68" s="55"/>
      <c r="D68" s="55"/>
      <c r="E68" s="55"/>
      <c r="F68" s="55"/>
      <c r="G68" s="55"/>
      <c r="H68" s="55"/>
    </row>
    <row r="69" ht="15.75" customHeight="1">
      <c r="B69" s="55"/>
      <c r="C69" s="55"/>
      <c r="D69" s="55"/>
      <c r="E69" s="55"/>
      <c r="F69" s="55"/>
      <c r="G69" s="55"/>
      <c r="H69" s="55"/>
    </row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64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64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5.71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</row>
    <row r="4" ht="18.75" customHeight="1">
      <c r="B4" s="22">
        <v>1.0</v>
      </c>
      <c r="C4" s="22" t="s">
        <v>199</v>
      </c>
      <c r="D4" s="22" t="s">
        <v>49</v>
      </c>
      <c r="E4" s="49"/>
      <c r="F4" s="49"/>
      <c r="G4" s="49"/>
      <c r="H4" s="25" t="str">
        <f>Ginecologia!$G4/Ginecologia!$F4</f>
        <v>#DIV/0!</v>
      </c>
    </row>
    <row r="5">
      <c r="B5" s="22">
        <v>2.0</v>
      </c>
      <c r="C5" s="22" t="s">
        <v>199</v>
      </c>
      <c r="D5" s="22" t="s">
        <v>50</v>
      </c>
      <c r="E5" s="49"/>
      <c r="F5" s="49"/>
      <c r="G5" s="49"/>
      <c r="H5" s="25" t="str">
        <f>Ginecologia!$G5/Ginecologia!$F5</f>
        <v>#DIV/0!</v>
      </c>
      <c r="I5" s="50"/>
    </row>
    <row r="6">
      <c r="B6" s="22">
        <v>3.0</v>
      </c>
      <c r="C6" s="22" t="s">
        <v>199</v>
      </c>
      <c r="D6" s="22" t="s">
        <v>52</v>
      </c>
      <c r="E6" s="49"/>
      <c r="F6" s="49"/>
      <c r="G6" s="49"/>
      <c r="H6" s="25" t="str">
        <f>Ginecologia!$G6/Ginecologia!$F6</f>
        <v>#DIV/0!</v>
      </c>
    </row>
    <row r="7" ht="24.0" customHeight="1">
      <c r="B7" s="22">
        <v>4.0</v>
      </c>
      <c r="C7" s="22" t="s">
        <v>200</v>
      </c>
      <c r="D7" s="22" t="s">
        <v>67</v>
      </c>
      <c r="E7" s="49"/>
      <c r="F7" s="49"/>
      <c r="G7" s="49"/>
      <c r="H7" s="25" t="str">
        <f>Ginecologia!$G7/Ginecologia!$F7</f>
        <v>#DIV/0!</v>
      </c>
    </row>
    <row r="8">
      <c r="B8" s="22">
        <v>5.0</v>
      </c>
      <c r="C8" s="22" t="s">
        <v>200</v>
      </c>
      <c r="D8" s="22" t="s">
        <v>52</v>
      </c>
      <c r="E8" s="49"/>
      <c r="F8" s="49"/>
      <c r="G8" s="49"/>
      <c r="H8" s="25" t="str">
        <f>Ginecologia!$G8/Ginecologia!$F8</f>
        <v>#DIV/0!</v>
      </c>
    </row>
    <row r="9">
      <c r="B9" s="22">
        <v>6.0</v>
      </c>
      <c r="C9" s="22" t="s">
        <v>201</v>
      </c>
      <c r="D9" s="22" t="s">
        <v>49</v>
      </c>
      <c r="E9" s="53" t="s">
        <v>40</v>
      </c>
      <c r="F9" s="53">
        <v>34.0</v>
      </c>
      <c r="G9" s="53">
        <v>29.0</v>
      </c>
      <c r="H9" s="25">
        <f>Ginecologia!$G9/Ginecologia!$F9</f>
        <v>0.8529411765</v>
      </c>
    </row>
    <row r="10">
      <c r="B10" s="22">
        <v>7.0</v>
      </c>
      <c r="C10" s="22" t="s">
        <v>201</v>
      </c>
      <c r="D10" s="22" t="s">
        <v>50</v>
      </c>
      <c r="E10" s="49"/>
      <c r="F10" s="22"/>
      <c r="G10" s="22"/>
      <c r="H10" s="25" t="str">
        <f>Ginecologia!$G10/Ginecologia!$F10</f>
        <v>#DIV/0!</v>
      </c>
    </row>
    <row r="11">
      <c r="B11" s="22">
        <v>8.0</v>
      </c>
      <c r="C11" s="22" t="s">
        <v>201</v>
      </c>
      <c r="D11" s="22" t="s">
        <v>52</v>
      </c>
      <c r="E11" s="22"/>
      <c r="F11" s="22"/>
      <c r="G11" s="22"/>
      <c r="H11" s="25" t="str">
        <f>Ginecologia!$G11/Ginecologia!$F11</f>
        <v>#DIV/0!</v>
      </c>
    </row>
    <row r="12">
      <c r="B12" s="22">
        <v>9.0</v>
      </c>
      <c r="C12" s="52" t="s">
        <v>202</v>
      </c>
      <c r="D12" s="22" t="s">
        <v>67</v>
      </c>
      <c r="E12" s="53" t="s">
        <v>40</v>
      </c>
      <c r="F12" s="53">
        <v>38.0</v>
      </c>
      <c r="G12" s="53">
        <v>26.0</v>
      </c>
      <c r="H12" s="25">
        <f>Ginecologia!$G12/Ginecologia!$F12</f>
        <v>0.6842105263</v>
      </c>
    </row>
    <row r="13">
      <c r="B13" s="22">
        <v>10.0</v>
      </c>
      <c r="C13" s="22" t="s">
        <v>202</v>
      </c>
      <c r="D13" s="22" t="s">
        <v>52</v>
      </c>
      <c r="E13" s="53" t="s">
        <v>40</v>
      </c>
      <c r="F13" s="53">
        <v>46.0</v>
      </c>
      <c r="G13" s="53">
        <v>41.0</v>
      </c>
      <c r="H13" s="25">
        <f>Ginecologia!$G13/Ginecologia!$F13</f>
        <v>0.8913043478</v>
      </c>
    </row>
    <row r="14">
      <c r="B14" s="22">
        <v>12.0</v>
      </c>
      <c r="C14" s="52" t="s">
        <v>203</v>
      </c>
      <c r="D14" s="22" t="s">
        <v>57</v>
      </c>
      <c r="E14" s="22"/>
      <c r="F14" s="22"/>
      <c r="G14" s="22"/>
      <c r="H14" s="25" t="str">
        <f>Ginecologia!$G14/Ginecologia!$F14</f>
        <v>#DIV/0!</v>
      </c>
    </row>
    <row r="15">
      <c r="B15" s="22">
        <v>11.0</v>
      </c>
      <c r="C15" s="22" t="s">
        <v>204</v>
      </c>
      <c r="D15" s="22" t="s">
        <v>49</v>
      </c>
      <c r="E15" s="53" t="s">
        <v>40</v>
      </c>
      <c r="F15" s="53">
        <v>26.0</v>
      </c>
      <c r="G15" s="53">
        <v>17.0</v>
      </c>
      <c r="H15" s="25">
        <f>Ginecologia!$G15/Ginecologia!$F15</f>
        <v>0.6538461538</v>
      </c>
    </row>
    <row r="16">
      <c r="B16" s="22">
        <v>13.0</v>
      </c>
      <c r="C16" s="22" t="s">
        <v>204</v>
      </c>
      <c r="D16" s="22" t="s">
        <v>50</v>
      </c>
      <c r="E16" s="49"/>
      <c r="F16" s="49"/>
      <c r="G16" s="49"/>
      <c r="H16" s="25" t="str">
        <f>Ginecologia!$G16/Ginecologia!$F16</f>
        <v>#DIV/0!</v>
      </c>
    </row>
    <row r="17">
      <c r="B17" s="22">
        <v>14.0</v>
      </c>
      <c r="C17" s="22" t="s">
        <v>204</v>
      </c>
      <c r="D17" s="22" t="s">
        <v>52</v>
      </c>
      <c r="E17" s="53" t="s">
        <v>40</v>
      </c>
      <c r="F17" s="53">
        <v>44.0</v>
      </c>
      <c r="G17" s="53">
        <v>32.0</v>
      </c>
      <c r="H17" s="25">
        <f>Ginecologia!$G17/Ginecologia!$F17</f>
        <v>0.7272727273</v>
      </c>
    </row>
    <row r="18">
      <c r="B18" s="22">
        <v>15.0</v>
      </c>
      <c r="C18" s="22" t="s">
        <v>205</v>
      </c>
      <c r="D18" s="22" t="s">
        <v>49</v>
      </c>
      <c r="E18" s="49"/>
      <c r="F18" s="49"/>
      <c r="G18" s="49"/>
      <c r="H18" s="25" t="str">
        <f>Ginecologia!$G18/Ginecologia!$F18</f>
        <v>#DIV/0!</v>
      </c>
    </row>
    <row r="19">
      <c r="B19" s="22">
        <v>16.0</v>
      </c>
      <c r="C19" s="22" t="s">
        <v>205</v>
      </c>
      <c r="D19" s="22" t="s">
        <v>50</v>
      </c>
      <c r="E19" s="49"/>
      <c r="F19" s="49"/>
      <c r="G19" s="49"/>
      <c r="H19" s="25" t="str">
        <f>Ginecologia!$G19/Ginecologia!$F19</f>
        <v>#DIV/0!</v>
      </c>
    </row>
    <row r="20">
      <c r="B20" s="22">
        <v>17.0</v>
      </c>
      <c r="C20" s="22" t="s">
        <v>205</v>
      </c>
      <c r="D20" s="22" t="s">
        <v>52</v>
      </c>
      <c r="E20" s="22"/>
      <c r="F20" s="22"/>
      <c r="G20" s="22"/>
      <c r="H20" s="25" t="str">
        <f>Ginecologia!$G20/Ginecologia!$F20</f>
        <v>#DIV/0!</v>
      </c>
    </row>
    <row r="21" ht="15.75" customHeight="1">
      <c r="B21" s="22">
        <v>18.0</v>
      </c>
      <c r="C21" s="22" t="s">
        <v>206</v>
      </c>
      <c r="D21" s="22" t="s">
        <v>49</v>
      </c>
      <c r="E21" s="49"/>
      <c r="F21" s="49"/>
      <c r="G21" s="49"/>
      <c r="H21" s="25" t="str">
        <f>Ginecologia!$G21/Ginecologia!$F21</f>
        <v>#DIV/0!</v>
      </c>
    </row>
    <row r="22" ht="15.75" customHeight="1">
      <c r="B22" s="22">
        <v>19.0</v>
      </c>
      <c r="C22" s="22" t="s">
        <v>206</v>
      </c>
      <c r="D22" s="22" t="s">
        <v>50</v>
      </c>
      <c r="E22" s="49"/>
      <c r="F22" s="49"/>
      <c r="G22" s="49"/>
      <c r="H22" s="25" t="str">
        <f>Ginecologia!$G22/Ginecologia!$F22</f>
        <v>#DIV/0!</v>
      </c>
    </row>
    <row r="23" ht="15.75" customHeight="1">
      <c r="B23" s="22">
        <v>20.0</v>
      </c>
      <c r="C23" s="22" t="s">
        <v>206</v>
      </c>
      <c r="D23" s="22" t="s">
        <v>52</v>
      </c>
      <c r="E23" s="22"/>
      <c r="F23" s="22"/>
      <c r="G23" s="22"/>
      <c r="H23" s="25" t="str">
        <f>Ginecologia!$G23/Ginecologia!$F23</f>
        <v>#DIV/0!</v>
      </c>
    </row>
    <row r="24" ht="15.75" customHeight="1">
      <c r="B24" s="22">
        <v>21.0</v>
      </c>
      <c r="C24" s="22" t="s">
        <v>207</v>
      </c>
      <c r="D24" s="22" t="s">
        <v>49</v>
      </c>
      <c r="E24" s="49"/>
      <c r="F24" s="49"/>
      <c r="G24" s="49"/>
      <c r="H24" s="25" t="str">
        <f>Ginecologia!$G24/Ginecologia!$F24</f>
        <v>#DIV/0!</v>
      </c>
    </row>
    <row r="25" ht="15.75" customHeight="1">
      <c r="B25" s="22">
        <v>22.0</v>
      </c>
      <c r="C25" s="22" t="s">
        <v>207</v>
      </c>
      <c r="D25" s="22" t="s">
        <v>50</v>
      </c>
      <c r="E25" s="49"/>
      <c r="F25" s="49"/>
      <c r="G25" s="49"/>
      <c r="H25" s="25" t="str">
        <f>Ginecologia!$G25/Ginecologia!$F25</f>
        <v>#DIV/0!</v>
      </c>
    </row>
    <row r="26" ht="15.75" customHeight="1">
      <c r="B26" s="22">
        <v>23.0</v>
      </c>
      <c r="C26" s="22" t="s">
        <v>207</v>
      </c>
      <c r="D26" s="22" t="s">
        <v>51</v>
      </c>
      <c r="E26" s="49"/>
      <c r="F26" s="49"/>
      <c r="G26" s="49"/>
      <c r="H26" s="25" t="str">
        <f>Ginecologia!$G26/Ginecologia!$F26</f>
        <v>#DIV/0!</v>
      </c>
    </row>
    <row r="27" ht="15.75" customHeight="1">
      <c r="B27" s="22">
        <v>24.0</v>
      </c>
      <c r="C27" s="22" t="s">
        <v>207</v>
      </c>
      <c r="D27" s="22" t="s">
        <v>52</v>
      </c>
      <c r="E27" s="49"/>
      <c r="F27" s="22"/>
      <c r="G27" s="22"/>
      <c r="H27" s="25" t="str">
        <f>Ginecologia!$G27/Ginecologia!$F27</f>
        <v>#DIV/0!</v>
      </c>
    </row>
    <row r="28" ht="15.75" customHeight="1">
      <c r="B28" s="22">
        <v>25.0</v>
      </c>
      <c r="C28" s="52" t="s">
        <v>208</v>
      </c>
      <c r="D28" s="22" t="s">
        <v>57</v>
      </c>
      <c r="E28" s="22"/>
      <c r="F28" s="22"/>
      <c r="G28" s="22"/>
      <c r="H28" s="25" t="str">
        <f>Ginecologia!$G28/Ginecologia!$F28</f>
        <v>#DIV/0!</v>
      </c>
    </row>
    <row r="29" ht="15.75" customHeight="1">
      <c r="B29" s="22">
        <v>26.0</v>
      </c>
      <c r="C29" s="22" t="s">
        <v>209</v>
      </c>
      <c r="D29" s="22" t="s">
        <v>49</v>
      </c>
      <c r="E29" s="22"/>
      <c r="F29" s="22"/>
      <c r="G29" s="22"/>
      <c r="H29" s="25" t="str">
        <f>Ginecologia!$G29/Ginecologia!$F29</f>
        <v>#DIV/0!</v>
      </c>
    </row>
    <row r="30" ht="15.75" customHeight="1">
      <c r="B30" s="22">
        <v>27.0</v>
      </c>
      <c r="C30" s="22" t="s">
        <v>209</v>
      </c>
      <c r="D30" s="22" t="s">
        <v>50</v>
      </c>
      <c r="E30" s="22"/>
      <c r="F30" s="22"/>
      <c r="G30" s="22"/>
      <c r="H30" s="25" t="str">
        <f>Ginecologia!$G30/Ginecologia!$F30</f>
        <v>#DIV/0!</v>
      </c>
    </row>
    <row r="31" ht="15.75" customHeight="1">
      <c r="B31" s="22">
        <v>28.0</v>
      </c>
      <c r="C31" s="22" t="s">
        <v>209</v>
      </c>
      <c r="D31" s="22" t="s">
        <v>52</v>
      </c>
      <c r="E31" s="22"/>
      <c r="F31" s="22"/>
      <c r="G31" s="22"/>
      <c r="H31" s="25" t="str">
        <f>Ginecologia!$G31/Ginecologia!$F31</f>
        <v>#DIV/0!</v>
      </c>
    </row>
    <row r="32" ht="15.75" customHeight="1">
      <c r="B32" s="22">
        <v>29.0</v>
      </c>
      <c r="C32" s="22" t="s">
        <v>210</v>
      </c>
      <c r="D32" s="22" t="s">
        <v>49</v>
      </c>
      <c r="E32" s="49"/>
      <c r="F32" s="49"/>
      <c r="G32" s="49"/>
      <c r="H32" s="25" t="str">
        <f>Ginecologia!$G32/Ginecologia!$F32</f>
        <v>#DIV/0!</v>
      </c>
    </row>
    <row r="33" ht="15.75" customHeight="1">
      <c r="B33" s="22">
        <v>30.0</v>
      </c>
      <c r="C33" s="22" t="s">
        <v>210</v>
      </c>
      <c r="D33" s="22" t="s">
        <v>50</v>
      </c>
      <c r="E33" s="49"/>
      <c r="F33" s="49"/>
      <c r="G33" s="49"/>
      <c r="H33" s="25" t="str">
        <f>Ginecologia!$G33/Ginecologia!$F33</f>
        <v>#DIV/0!</v>
      </c>
    </row>
    <row r="34" ht="15.75" customHeight="1">
      <c r="B34" s="22">
        <v>31.0</v>
      </c>
      <c r="C34" s="22" t="s">
        <v>210</v>
      </c>
      <c r="D34" s="22" t="s">
        <v>52</v>
      </c>
      <c r="E34" s="22"/>
      <c r="F34" s="22"/>
      <c r="G34" s="22"/>
      <c r="H34" s="25" t="str">
        <f>Ginecologia!$G34/Ginecologia!$F34</f>
        <v>#DIV/0!</v>
      </c>
    </row>
    <row r="35" ht="15.75" customHeight="1">
      <c r="B35" s="22">
        <v>32.0</v>
      </c>
      <c r="C35" s="22" t="s">
        <v>211</v>
      </c>
      <c r="D35" s="22" t="s">
        <v>67</v>
      </c>
      <c r="E35" s="22"/>
      <c r="F35" s="22"/>
      <c r="G35" s="22"/>
      <c r="H35" s="25" t="str">
        <f>Ginecologia!$G35/Ginecologia!$F35</f>
        <v>#DIV/0!</v>
      </c>
    </row>
    <row r="36" ht="15.75" customHeight="1">
      <c r="B36" s="22">
        <v>33.0</v>
      </c>
      <c r="C36" s="22" t="s">
        <v>211</v>
      </c>
      <c r="D36" s="22" t="s">
        <v>52</v>
      </c>
      <c r="E36" s="22"/>
      <c r="F36" s="22"/>
      <c r="G36" s="22"/>
      <c r="H36" s="25" t="str">
        <f>Ginecologia!$G36/Ginecologia!$F36</f>
        <v>#DIV/0!</v>
      </c>
    </row>
    <row r="37" ht="15.75" customHeight="1">
      <c r="B37" s="22">
        <v>34.0</v>
      </c>
      <c r="C37" s="22" t="s">
        <v>212</v>
      </c>
      <c r="D37" s="22" t="s">
        <v>67</v>
      </c>
      <c r="E37" s="49"/>
      <c r="F37" s="22"/>
      <c r="G37" s="22"/>
      <c r="H37" s="25" t="str">
        <f>Ginecologia!$G37/Ginecologia!$F37</f>
        <v>#DIV/0!</v>
      </c>
    </row>
    <row r="38" ht="15.75" customHeight="1">
      <c r="B38" s="22">
        <v>35.0</v>
      </c>
      <c r="C38" s="22" t="s">
        <v>212</v>
      </c>
      <c r="D38" s="22" t="s">
        <v>52</v>
      </c>
      <c r="E38" s="22"/>
      <c r="F38" s="22"/>
      <c r="G38" s="22"/>
      <c r="H38" s="25" t="str">
        <f>Ginecologia!$G38/Ginecologia!$F38</f>
        <v>#DIV/0!</v>
      </c>
    </row>
    <row r="39" ht="15.75" customHeight="1">
      <c r="B39" s="22">
        <v>36.0</v>
      </c>
      <c r="C39" s="52" t="s">
        <v>213</v>
      </c>
      <c r="D39" s="22" t="s">
        <v>57</v>
      </c>
      <c r="E39" s="22"/>
      <c r="F39" s="22"/>
      <c r="G39" s="22"/>
      <c r="H39" s="25" t="str">
        <f>Ginecologia!$G39/Ginecologia!$F39</f>
        <v>#DIV/0!</v>
      </c>
    </row>
    <row r="40" ht="15.75" customHeight="1">
      <c r="B40" s="22">
        <v>37.0</v>
      </c>
      <c r="C40" s="22" t="s">
        <v>214</v>
      </c>
      <c r="D40" s="22" t="s">
        <v>67</v>
      </c>
      <c r="E40" s="49"/>
      <c r="F40" s="49"/>
      <c r="G40" s="49"/>
      <c r="H40" s="25" t="str">
        <f>Ginecologia!$G40/Ginecologia!$F40</f>
        <v>#DIV/0!</v>
      </c>
    </row>
    <row r="41" ht="15.75" customHeight="1">
      <c r="B41" s="22">
        <v>38.0</v>
      </c>
      <c r="C41" s="22" t="s">
        <v>214</v>
      </c>
      <c r="D41" s="22" t="s">
        <v>52</v>
      </c>
      <c r="E41" s="49"/>
      <c r="F41" s="22"/>
      <c r="G41" s="22"/>
      <c r="H41" s="25" t="str">
        <f>Ginecologia!$G41/Ginecologia!$F41</f>
        <v>#DIV/0!</v>
      </c>
    </row>
    <row r="42" ht="15.75" customHeight="1">
      <c r="B42" s="22">
        <v>39.0</v>
      </c>
      <c r="C42" s="52" t="s">
        <v>215</v>
      </c>
      <c r="D42" s="22" t="s">
        <v>67</v>
      </c>
      <c r="E42" s="22"/>
      <c r="F42" s="22"/>
      <c r="G42" s="22"/>
      <c r="H42" s="25" t="str">
        <f>Ginecologia!$G42/Ginecologia!$F42</f>
        <v>#DIV/0!</v>
      </c>
    </row>
    <row r="43" ht="15.75" customHeight="1">
      <c r="B43" s="22">
        <v>40.0</v>
      </c>
      <c r="C43" s="22" t="s">
        <v>216</v>
      </c>
      <c r="D43" s="22" t="s">
        <v>49</v>
      </c>
      <c r="E43" s="22"/>
      <c r="F43" s="22"/>
      <c r="G43" s="22"/>
      <c r="H43" s="25" t="str">
        <f>Ginecologia!$G43/Ginecologia!$F43</f>
        <v>#DIV/0!</v>
      </c>
    </row>
    <row r="44" ht="15.75" customHeight="1">
      <c r="B44" s="22">
        <v>41.0</v>
      </c>
      <c r="C44" s="22" t="s">
        <v>216</v>
      </c>
      <c r="D44" s="22" t="s">
        <v>50</v>
      </c>
      <c r="E44" s="22"/>
      <c r="F44" s="22"/>
      <c r="G44" s="22"/>
      <c r="H44" s="25" t="str">
        <f>Ginecologia!$G44/Ginecologia!$F44</f>
        <v>#DIV/0!</v>
      </c>
    </row>
    <row r="45" ht="15.75" customHeight="1">
      <c r="B45" s="22">
        <v>42.0</v>
      </c>
      <c r="C45" s="22" t="s">
        <v>216</v>
      </c>
      <c r="D45" s="22" t="s">
        <v>52</v>
      </c>
      <c r="E45" s="22"/>
      <c r="F45" s="22"/>
      <c r="G45" s="22"/>
      <c r="H45" s="25" t="str">
        <f>Ginecologia!$G45/Ginecologia!$F45</f>
        <v>#DIV/0!</v>
      </c>
    </row>
    <row r="46" ht="15.75" customHeight="1">
      <c r="B46" s="22">
        <v>43.0</v>
      </c>
      <c r="C46" s="52" t="s">
        <v>217</v>
      </c>
      <c r="D46" s="22" t="s">
        <v>67</v>
      </c>
      <c r="E46" s="49"/>
      <c r="F46" s="49"/>
      <c r="G46" s="49"/>
      <c r="H46" s="25" t="str">
        <f>Ginecologia!$G46/Ginecologia!$F46</f>
        <v>#DIV/0!</v>
      </c>
    </row>
    <row r="47" ht="15.75" customHeight="1">
      <c r="B47" s="22">
        <v>44.0</v>
      </c>
      <c r="C47" s="22" t="s">
        <v>218</v>
      </c>
      <c r="D47" s="22" t="s">
        <v>49</v>
      </c>
      <c r="E47" s="22"/>
      <c r="F47" s="22"/>
      <c r="G47" s="22"/>
      <c r="H47" s="25" t="str">
        <f>Ginecologia!$G47/Ginecologia!$F47</f>
        <v>#DIV/0!</v>
      </c>
    </row>
    <row r="48" ht="15.75" customHeight="1">
      <c r="B48" s="22">
        <v>45.0</v>
      </c>
      <c r="C48" s="22" t="s">
        <v>218</v>
      </c>
      <c r="D48" s="22" t="s">
        <v>50</v>
      </c>
      <c r="E48" s="22"/>
      <c r="F48" s="22"/>
      <c r="G48" s="22"/>
      <c r="H48" s="25" t="str">
        <f>Ginecologia!$G48/Ginecologia!$F48</f>
        <v>#DIV/0!</v>
      </c>
    </row>
    <row r="49" ht="15.75" customHeight="1">
      <c r="B49" s="22">
        <v>46.0</v>
      </c>
      <c r="C49" s="22" t="s">
        <v>218</v>
      </c>
      <c r="D49" s="22" t="s">
        <v>52</v>
      </c>
      <c r="E49" s="49"/>
      <c r="F49" s="49"/>
      <c r="G49" s="49"/>
      <c r="H49" s="25" t="str">
        <f>Ginecologia!$G49/Ginecologia!$F49</f>
        <v>#DIV/0!</v>
      </c>
    </row>
    <row r="50" ht="15.75" customHeight="1">
      <c r="B50" s="22">
        <v>47.0</v>
      </c>
      <c r="C50" s="52" t="s">
        <v>219</v>
      </c>
      <c r="D50" s="22" t="s">
        <v>67</v>
      </c>
      <c r="E50" s="22"/>
      <c r="F50" s="22"/>
      <c r="G50" s="22"/>
      <c r="H50" s="25" t="str">
        <f>Ginecologia!$G50/Ginecologia!$F50</f>
        <v>#DIV/0!</v>
      </c>
    </row>
    <row r="51" ht="15.75" customHeight="1">
      <c r="B51" s="22">
        <v>48.0</v>
      </c>
      <c r="C51" s="22" t="s">
        <v>220</v>
      </c>
      <c r="D51" s="22" t="s">
        <v>49</v>
      </c>
      <c r="E51" s="49"/>
      <c r="F51" s="49"/>
      <c r="G51" s="49"/>
      <c r="H51" s="25" t="str">
        <f>Ginecologia!$G51/Ginecologia!$F51</f>
        <v>#DIV/0!</v>
      </c>
    </row>
    <row r="52" ht="15.75" customHeight="1">
      <c r="B52" s="22">
        <v>49.0</v>
      </c>
      <c r="C52" s="22" t="s">
        <v>220</v>
      </c>
      <c r="D52" s="22" t="s">
        <v>50</v>
      </c>
      <c r="E52" s="49"/>
      <c r="F52" s="49"/>
      <c r="G52" s="49"/>
      <c r="H52" s="25" t="str">
        <f>Ginecologia!$G52/Ginecologia!$F52</f>
        <v>#DIV/0!</v>
      </c>
    </row>
    <row r="53" ht="15.75" customHeight="1">
      <c r="B53" s="22">
        <v>50.0</v>
      </c>
      <c r="C53" s="22" t="s">
        <v>220</v>
      </c>
      <c r="D53" s="22" t="s">
        <v>52</v>
      </c>
      <c r="E53" s="22"/>
      <c r="F53" s="22"/>
      <c r="G53" s="22"/>
      <c r="H53" s="25" t="str">
        <f>Ginecologia!$G53/Ginecologia!$F53</f>
        <v>#DIV/0!</v>
      </c>
    </row>
    <row r="54" ht="15.75" customHeight="1">
      <c r="B54" s="22">
        <v>51.0</v>
      </c>
      <c r="C54" s="52" t="s">
        <v>221</v>
      </c>
      <c r="D54" s="22" t="s">
        <v>57</v>
      </c>
      <c r="E54" s="22"/>
      <c r="F54" s="22"/>
      <c r="G54" s="22"/>
      <c r="H54" s="25" t="str">
        <f>Ginecologia!$G54/Ginecologia!$F54</f>
        <v>#DIV/0!</v>
      </c>
    </row>
    <row r="55" ht="15.75" customHeight="1">
      <c r="B55" s="22">
        <v>52.0</v>
      </c>
      <c r="C55" s="22" t="s">
        <v>222</v>
      </c>
      <c r="D55" s="22" t="s">
        <v>49</v>
      </c>
      <c r="E55" s="49"/>
      <c r="F55" s="49"/>
      <c r="G55" s="22"/>
      <c r="H55" s="25" t="str">
        <f>Ginecologia!$G55/Ginecologia!$F55</f>
        <v>#DIV/0!</v>
      </c>
    </row>
    <row r="56" ht="15.75" customHeight="1">
      <c r="B56" s="22">
        <v>53.0</v>
      </c>
      <c r="C56" s="22" t="s">
        <v>222</v>
      </c>
      <c r="D56" s="22" t="s">
        <v>50</v>
      </c>
      <c r="E56" s="49"/>
      <c r="F56" s="22"/>
      <c r="G56" s="22"/>
      <c r="H56" s="25" t="str">
        <f>Ginecologia!$G56/Ginecologia!$F56</f>
        <v>#DIV/0!</v>
      </c>
    </row>
    <row r="57" ht="15.75" customHeight="1">
      <c r="B57" s="22">
        <v>54.0</v>
      </c>
      <c r="C57" s="22" t="s">
        <v>222</v>
      </c>
      <c r="D57" s="22" t="s">
        <v>52</v>
      </c>
      <c r="E57" s="22"/>
      <c r="F57" s="22"/>
      <c r="G57" s="22"/>
      <c r="H57" s="25" t="str">
        <f>Ginecologia!$G57/Ginecologia!$F57</f>
        <v>#DIV/0!</v>
      </c>
    </row>
    <row r="58" ht="15.75" customHeight="1">
      <c r="B58" s="22">
        <v>55.0</v>
      </c>
      <c r="C58" s="22" t="s">
        <v>223</v>
      </c>
      <c r="D58" s="22" t="s">
        <v>49</v>
      </c>
      <c r="E58" s="49"/>
      <c r="F58" s="49"/>
      <c r="G58" s="49"/>
      <c r="H58" s="25" t="str">
        <f>Ginecologia!$G58/Ginecologia!$F58</f>
        <v>#DIV/0!</v>
      </c>
    </row>
    <row r="59" ht="15.75" customHeight="1">
      <c r="B59" s="22">
        <v>56.0</v>
      </c>
      <c r="C59" s="22" t="s">
        <v>223</v>
      </c>
      <c r="D59" s="22" t="s">
        <v>50</v>
      </c>
      <c r="E59" s="49"/>
      <c r="F59" s="49"/>
      <c r="G59" s="49"/>
      <c r="H59" s="25" t="str">
        <f>Ginecologia!$G59/Ginecologia!$F59</f>
        <v>#DIV/0!</v>
      </c>
    </row>
    <row r="60" ht="15.75" customHeight="1">
      <c r="B60" s="22">
        <v>57.0</v>
      </c>
      <c r="C60" s="52" t="s">
        <v>223</v>
      </c>
      <c r="D60" s="22"/>
      <c r="E60" s="22"/>
      <c r="F60" s="22"/>
      <c r="G60" s="22"/>
      <c r="H60" s="25" t="str">
        <f>Ginecologia!$G60/Ginecologia!$F60</f>
        <v>#DIV/0!</v>
      </c>
    </row>
    <row r="61" ht="15.75" customHeight="1">
      <c r="B61" s="22">
        <v>58.0</v>
      </c>
      <c r="C61" s="52" t="s">
        <v>224</v>
      </c>
      <c r="D61" s="22" t="s">
        <v>49</v>
      </c>
      <c r="E61" s="49"/>
      <c r="F61" s="49"/>
      <c r="G61" s="49"/>
      <c r="H61" s="25" t="str">
        <f>Ginecologia!$G61/Ginecologia!$F61</f>
        <v>#DIV/0!</v>
      </c>
    </row>
    <row r="62" ht="15.75" customHeight="1">
      <c r="B62" s="22">
        <v>59.0</v>
      </c>
      <c r="C62" s="52" t="s">
        <v>224</v>
      </c>
      <c r="D62" s="22" t="s">
        <v>50</v>
      </c>
      <c r="E62" s="49"/>
      <c r="F62" s="49"/>
      <c r="G62" s="49"/>
      <c r="H62" s="25" t="str">
        <f>Ginecologia!$G62/Ginecologia!$F62</f>
        <v>#DIV/0!</v>
      </c>
    </row>
    <row r="63" ht="15.75" customHeight="1">
      <c r="B63" s="22">
        <v>60.0</v>
      </c>
      <c r="C63" s="52" t="s">
        <v>224</v>
      </c>
      <c r="D63" s="22" t="s">
        <v>52</v>
      </c>
      <c r="E63" s="22"/>
      <c r="F63" s="22"/>
      <c r="G63" s="22"/>
      <c r="H63" s="25" t="str">
        <f>Ginecologia!$G63/Ginecologia!$F63</f>
        <v>#DIV/0!</v>
      </c>
    </row>
    <row r="64" ht="15.75" customHeight="1">
      <c r="B64" s="22">
        <v>61.0</v>
      </c>
      <c r="C64" s="22" t="s">
        <v>225</v>
      </c>
      <c r="D64" s="22" t="s">
        <v>67</v>
      </c>
      <c r="E64" s="22"/>
      <c r="F64" s="22"/>
      <c r="G64" s="22"/>
      <c r="H64" s="25" t="str">
        <f>Ginecologia!$G64/Ginecologia!$F64</f>
        <v>#DIV/0!</v>
      </c>
    </row>
    <row r="65" ht="15.75" customHeight="1">
      <c r="B65" s="22">
        <v>62.0</v>
      </c>
      <c r="C65" s="22" t="s">
        <v>225</v>
      </c>
      <c r="D65" s="22" t="s">
        <v>52</v>
      </c>
      <c r="E65" s="22"/>
      <c r="F65" s="22"/>
      <c r="G65" s="22"/>
      <c r="H65" s="25" t="str">
        <f>Ginecologia!$G65/Ginecologia!$F65</f>
        <v>#DIV/0!</v>
      </c>
    </row>
    <row r="66" ht="15.75" customHeight="1">
      <c r="B66" s="22">
        <v>63.0</v>
      </c>
      <c r="C66" s="52" t="s">
        <v>226</v>
      </c>
      <c r="D66" s="22" t="s">
        <v>57</v>
      </c>
      <c r="E66" s="22"/>
      <c r="F66" s="22"/>
      <c r="G66" s="22"/>
      <c r="H66" s="25" t="str">
        <f>Ginecologia!$G66/Ginecologia!$F66</f>
        <v>#DIV/0!</v>
      </c>
    </row>
    <row r="67" ht="15.75" customHeight="1">
      <c r="B67" s="9" t="s">
        <v>28</v>
      </c>
      <c r="C67" s="54"/>
      <c r="D67" s="54"/>
      <c r="E67" s="22">
        <f>COUNTA(E4:E66)</f>
        <v>5</v>
      </c>
      <c r="F67" s="22">
        <f t="shared" ref="F67:G67" si="1">SUM(F4:F66)</f>
        <v>188</v>
      </c>
      <c r="G67" s="22">
        <f t="shared" si="1"/>
        <v>145</v>
      </c>
      <c r="H67" s="25">
        <f>Ginecologia!$G67/Ginecologia!$F67</f>
        <v>0.7712765957</v>
      </c>
    </row>
    <row r="68" ht="15.75" customHeight="1">
      <c r="B68" s="55"/>
      <c r="C68" s="55"/>
      <c r="D68" s="55"/>
      <c r="E68" s="55"/>
      <c r="F68" s="55"/>
      <c r="G68" s="55"/>
      <c r="H68" s="55"/>
    </row>
    <row r="69" ht="15.75" customHeight="1">
      <c r="B69" s="55"/>
      <c r="C69" s="55"/>
      <c r="D69" s="55"/>
      <c r="E69" s="55"/>
      <c r="F69" s="55"/>
      <c r="G69" s="55"/>
      <c r="H69" s="55"/>
    </row>
    <row r="70" ht="15.75" customHeight="1">
      <c r="B70" s="55"/>
      <c r="C70" s="55"/>
      <c r="D70" s="55"/>
      <c r="E70" s="55"/>
      <c r="F70" s="55"/>
      <c r="G70" s="55"/>
      <c r="H70" s="55"/>
    </row>
    <row r="71" ht="15.75" customHeight="1">
      <c r="B71" s="55"/>
      <c r="C71" s="55"/>
      <c r="D71" s="55"/>
      <c r="E71" s="55"/>
      <c r="F71" s="55"/>
      <c r="G71" s="55"/>
      <c r="H71" s="55"/>
    </row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66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66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9.0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227</v>
      </c>
      <c r="D4" s="22" t="s">
        <v>49</v>
      </c>
      <c r="E4" s="49"/>
      <c r="F4" s="49"/>
      <c r="G4" s="49"/>
      <c r="H4" s="25" t="str">
        <f>Gastro!$G4/Gastro!$F4</f>
        <v>#DIV/0!</v>
      </c>
    </row>
    <row r="5">
      <c r="B5" s="22">
        <v>2.0</v>
      </c>
      <c r="C5" s="22" t="s">
        <v>227</v>
      </c>
      <c r="D5" s="22" t="s">
        <v>50</v>
      </c>
      <c r="E5" s="49"/>
      <c r="F5" s="49"/>
      <c r="G5" s="49"/>
      <c r="H5" s="25" t="str">
        <f>Gastro!$G5/Gastro!$F5</f>
        <v>#DIV/0!</v>
      </c>
      <c r="I5" s="50"/>
      <c r="J5" s="50"/>
    </row>
    <row r="6">
      <c r="B6" s="22">
        <v>3.0</v>
      </c>
      <c r="C6" s="22" t="s">
        <v>227</v>
      </c>
      <c r="D6" s="22" t="s">
        <v>101</v>
      </c>
      <c r="E6" s="49"/>
      <c r="F6" s="49"/>
      <c r="G6" s="49"/>
      <c r="H6" s="25" t="str">
        <f>Gastro!$G6/Gastro!$F6</f>
        <v>#DIV/0!</v>
      </c>
    </row>
    <row r="7" ht="24.0" customHeight="1">
      <c r="B7" s="22">
        <v>4.0</v>
      </c>
      <c r="C7" s="22" t="s">
        <v>227</v>
      </c>
      <c r="D7" s="22" t="s">
        <v>51</v>
      </c>
      <c r="E7" s="49"/>
      <c r="F7" s="22"/>
      <c r="G7" s="22"/>
      <c r="H7" s="25" t="str">
        <f>Gastro!$G7/Gastro!$F7</f>
        <v>#DIV/0!</v>
      </c>
    </row>
    <row r="8">
      <c r="B8" s="22">
        <v>5.0</v>
      </c>
      <c r="C8" s="22" t="s">
        <v>227</v>
      </c>
      <c r="D8" s="22" t="s">
        <v>102</v>
      </c>
      <c r="E8" s="22"/>
      <c r="F8" s="22"/>
      <c r="G8" s="22"/>
      <c r="H8" s="25" t="str">
        <f>Gastro!$G8/Gastro!$F8</f>
        <v>#DIV/0!</v>
      </c>
    </row>
    <row r="9">
      <c r="B9" s="22">
        <v>6.0</v>
      </c>
      <c r="C9" s="22" t="s">
        <v>227</v>
      </c>
      <c r="D9" s="22" t="s">
        <v>103</v>
      </c>
      <c r="E9" s="22"/>
      <c r="F9" s="22"/>
      <c r="G9" s="22"/>
      <c r="H9" s="25" t="str">
        <f>Gastro!$G9/Gastro!$F9</f>
        <v>#DIV/0!</v>
      </c>
    </row>
    <row r="10">
      <c r="B10" s="22">
        <v>7.0</v>
      </c>
      <c r="C10" s="22" t="s">
        <v>228</v>
      </c>
      <c r="D10" s="22" t="s">
        <v>49</v>
      </c>
      <c r="E10" s="22"/>
      <c r="F10" s="22"/>
      <c r="G10" s="22"/>
      <c r="H10" s="25" t="str">
        <f>Gastro!$G10/Gastro!$F10</f>
        <v>#DIV/0!</v>
      </c>
    </row>
    <row r="11">
      <c r="B11" s="22">
        <v>8.0</v>
      </c>
      <c r="C11" s="22" t="s">
        <v>228</v>
      </c>
      <c r="D11" s="22" t="s">
        <v>50</v>
      </c>
      <c r="E11" s="22"/>
      <c r="F11" s="22"/>
      <c r="G11" s="22"/>
      <c r="H11" s="25" t="str">
        <f>Gastro!$G11/Gastro!$F11</f>
        <v>#DIV/0!</v>
      </c>
    </row>
    <row r="12">
      <c r="B12" s="22">
        <v>9.0</v>
      </c>
      <c r="C12" s="22" t="s">
        <v>228</v>
      </c>
      <c r="D12" s="22" t="s">
        <v>51</v>
      </c>
      <c r="E12" s="22"/>
      <c r="F12" s="22"/>
      <c r="G12" s="22"/>
      <c r="H12" s="25" t="str">
        <f>Gastro!$G12/Gastro!$F12</f>
        <v>#DIV/0!</v>
      </c>
    </row>
    <row r="13">
      <c r="B13" s="22">
        <v>10.0</v>
      </c>
      <c r="C13" s="22" t="s">
        <v>228</v>
      </c>
      <c r="D13" s="22" t="s">
        <v>52</v>
      </c>
      <c r="E13" s="22"/>
      <c r="F13" s="22"/>
      <c r="G13" s="22"/>
      <c r="H13" s="25" t="str">
        <f>Gastro!$G13/Gastro!$F13</f>
        <v>#DIV/0!</v>
      </c>
    </row>
    <row r="14">
      <c r="B14" s="22">
        <v>11.0</v>
      </c>
      <c r="C14" s="22" t="s">
        <v>229</v>
      </c>
      <c r="D14" s="22" t="s">
        <v>49</v>
      </c>
      <c r="E14" s="53" t="s">
        <v>40</v>
      </c>
      <c r="F14" s="53">
        <v>31.0</v>
      </c>
      <c r="G14" s="53">
        <v>24.0</v>
      </c>
      <c r="H14" s="25">
        <f>Gastro!$G14/Gastro!$F14</f>
        <v>0.7741935484</v>
      </c>
    </row>
    <row r="15">
      <c r="B15" s="22">
        <v>12.0</v>
      </c>
      <c r="C15" s="22" t="s">
        <v>229</v>
      </c>
      <c r="D15" s="22" t="s">
        <v>50</v>
      </c>
      <c r="E15" s="22"/>
      <c r="F15" s="22"/>
      <c r="G15" s="22"/>
      <c r="H15" s="25" t="str">
        <f>Gastro!$G15/Gastro!$F15</f>
        <v>#DIV/0!</v>
      </c>
    </row>
    <row r="16">
      <c r="B16" s="22">
        <v>13.0</v>
      </c>
      <c r="C16" s="22" t="s">
        <v>229</v>
      </c>
      <c r="D16" s="22" t="s">
        <v>52</v>
      </c>
      <c r="E16" s="53" t="s">
        <v>40</v>
      </c>
      <c r="F16" s="53">
        <v>47.0</v>
      </c>
      <c r="G16" s="53">
        <v>37.0</v>
      </c>
      <c r="H16" s="25">
        <f>Gastro!$G16/Gastro!$F16</f>
        <v>0.7872340426</v>
      </c>
    </row>
    <row r="17">
      <c r="B17" s="22">
        <v>14.0</v>
      </c>
      <c r="C17" s="52" t="s">
        <v>230</v>
      </c>
      <c r="D17" s="22" t="s">
        <v>57</v>
      </c>
      <c r="E17" s="22"/>
      <c r="F17" s="22"/>
      <c r="G17" s="22"/>
      <c r="H17" s="25" t="str">
        <f>Gastro!$G17/Gastro!$F17</f>
        <v>#DIV/0!</v>
      </c>
    </row>
    <row r="18">
      <c r="B18" s="22">
        <v>15.0</v>
      </c>
      <c r="C18" s="22" t="s">
        <v>231</v>
      </c>
      <c r="D18" s="22" t="s">
        <v>49</v>
      </c>
      <c r="E18" s="49"/>
      <c r="F18" s="49"/>
      <c r="G18" s="49"/>
      <c r="H18" s="25" t="str">
        <f>Gastro!$G18/Gastro!$F18</f>
        <v>#DIV/0!</v>
      </c>
    </row>
    <row r="19">
      <c r="B19" s="22">
        <v>16.0</v>
      </c>
      <c r="C19" s="22" t="s">
        <v>231</v>
      </c>
      <c r="D19" s="22" t="s">
        <v>50</v>
      </c>
      <c r="E19" s="49"/>
      <c r="F19" s="49"/>
      <c r="G19" s="49"/>
      <c r="H19" s="25" t="str">
        <f>Gastro!$G19/Gastro!$F19</f>
        <v>#DIV/0!</v>
      </c>
    </row>
    <row r="20">
      <c r="B20" s="22">
        <v>17.0</v>
      </c>
      <c r="C20" s="22" t="s">
        <v>231</v>
      </c>
      <c r="D20" s="22" t="s">
        <v>52</v>
      </c>
      <c r="E20" s="22"/>
      <c r="F20" s="22"/>
      <c r="G20" s="22"/>
      <c r="H20" s="25" t="str">
        <f>Gastro!$G20/Gastro!$F20</f>
        <v>#DIV/0!</v>
      </c>
    </row>
    <row r="21" ht="15.75" customHeight="1">
      <c r="B21" s="22">
        <v>18.0</v>
      </c>
      <c r="C21" s="52" t="s">
        <v>232</v>
      </c>
      <c r="D21" s="22" t="s">
        <v>67</v>
      </c>
      <c r="E21" s="22"/>
      <c r="F21" s="22"/>
      <c r="G21" s="22"/>
      <c r="H21" s="25" t="str">
        <f>Gastro!$G21/Gastro!$F21</f>
        <v>#DIV/0!</v>
      </c>
    </row>
    <row r="22" ht="15.75" customHeight="1">
      <c r="B22" s="22">
        <v>19.0</v>
      </c>
      <c r="C22" s="22" t="s">
        <v>233</v>
      </c>
      <c r="D22" s="22" t="s">
        <v>49</v>
      </c>
      <c r="E22" s="22"/>
      <c r="F22" s="22"/>
      <c r="G22" s="22"/>
      <c r="H22" s="25" t="str">
        <f>Gastro!$G22/Gastro!$F22</f>
        <v>#DIV/0!</v>
      </c>
    </row>
    <row r="23" ht="15.75" customHeight="1">
      <c r="B23" s="22">
        <v>20.0</v>
      </c>
      <c r="C23" s="22" t="s">
        <v>233</v>
      </c>
      <c r="D23" s="22" t="s">
        <v>50</v>
      </c>
      <c r="E23" s="22"/>
      <c r="F23" s="22"/>
      <c r="G23" s="22"/>
      <c r="H23" s="25" t="str">
        <f>Gastro!$G23/Gastro!$F23</f>
        <v>#DIV/0!</v>
      </c>
    </row>
    <row r="24" ht="15.75" customHeight="1">
      <c r="B24" s="22">
        <v>21.0</v>
      </c>
      <c r="C24" s="22" t="s">
        <v>233</v>
      </c>
      <c r="D24" s="22" t="s">
        <v>51</v>
      </c>
      <c r="E24" s="49"/>
      <c r="F24" s="22"/>
      <c r="G24" s="22"/>
      <c r="H24" s="25" t="str">
        <f>Gastro!$G24/Gastro!$F24</f>
        <v>#DIV/0!</v>
      </c>
    </row>
    <row r="25" ht="15.75" customHeight="1">
      <c r="B25" s="22">
        <v>22.0</v>
      </c>
      <c r="C25" s="22" t="s">
        <v>233</v>
      </c>
      <c r="D25" s="22" t="s">
        <v>52</v>
      </c>
      <c r="E25" s="22"/>
      <c r="F25" s="22"/>
      <c r="G25" s="22"/>
      <c r="H25" s="25" t="str">
        <f>Gastro!$G25/Gastro!$F25</f>
        <v>#DIV/0!</v>
      </c>
    </row>
    <row r="26" ht="15.75" customHeight="1">
      <c r="B26" s="22">
        <v>23.0</v>
      </c>
      <c r="C26" s="22" t="s">
        <v>234</v>
      </c>
      <c r="D26" s="22" t="s">
        <v>67</v>
      </c>
      <c r="E26" s="22"/>
      <c r="F26" s="22"/>
      <c r="G26" s="22"/>
      <c r="H26" s="25" t="str">
        <f>Gastro!$G26/Gastro!$F26</f>
        <v>#DIV/0!</v>
      </c>
    </row>
    <row r="27" ht="15.75" customHeight="1">
      <c r="B27" s="22">
        <v>24.0</v>
      </c>
      <c r="C27" s="22" t="s">
        <v>234</v>
      </c>
      <c r="D27" s="22" t="s">
        <v>52</v>
      </c>
      <c r="E27" s="22"/>
      <c r="F27" s="22"/>
      <c r="G27" s="22"/>
      <c r="H27" s="25" t="str">
        <f>Gastro!$G27/Gastro!$F27</f>
        <v>#DIV/0!</v>
      </c>
    </row>
    <row r="28" ht="15.75" customHeight="1">
      <c r="B28" s="22">
        <v>25.0</v>
      </c>
      <c r="C28" s="52" t="s">
        <v>235</v>
      </c>
      <c r="D28" s="22" t="s">
        <v>57</v>
      </c>
      <c r="E28" s="22"/>
      <c r="F28" s="22"/>
      <c r="G28" s="22"/>
      <c r="H28" s="25" t="str">
        <f>Gastro!$G28/Gastro!$F28</f>
        <v>#DIV/0!</v>
      </c>
    </row>
    <row r="29" ht="15.75" customHeight="1">
      <c r="B29" s="22">
        <v>26.0</v>
      </c>
      <c r="C29" s="22" t="s">
        <v>236</v>
      </c>
      <c r="D29" s="22" t="s">
        <v>49</v>
      </c>
      <c r="E29" s="22"/>
      <c r="F29" s="22"/>
      <c r="G29" s="22"/>
      <c r="H29" s="25" t="str">
        <f>Gastro!$G29/Gastro!$F29</f>
        <v>#DIV/0!</v>
      </c>
    </row>
    <row r="30" ht="15.75" customHeight="1">
      <c r="B30" s="22">
        <v>27.0</v>
      </c>
      <c r="C30" s="22" t="s">
        <v>236</v>
      </c>
      <c r="D30" s="22" t="s">
        <v>50</v>
      </c>
      <c r="E30" s="22"/>
      <c r="F30" s="22"/>
      <c r="G30" s="22"/>
      <c r="H30" s="25" t="str">
        <f>Gastro!$G30/Gastro!$F30</f>
        <v>#DIV/0!</v>
      </c>
    </row>
    <row r="31" ht="15.75" customHeight="1">
      <c r="B31" s="22">
        <v>28.0</v>
      </c>
      <c r="C31" s="22" t="s">
        <v>236</v>
      </c>
      <c r="D31" s="22" t="s">
        <v>52</v>
      </c>
      <c r="E31" s="22"/>
      <c r="F31" s="22"/>
      <c r="G31" s="22"/>
      <c r="H31" s="25" t="str">
        <f>Gastro!$G31/Gastro!$F31</f>
        <v>#DIV/0!</v>
      </c>
    </row>
    <row r="32" ht="15.75" customHeight="1">
      <c r="B32" s="22">
        <v>29.0</v>
      </c>
      <c r="C32" s="52" t="s">
        <v>237</v>
      </c>
      <c r="D32" s="22" t="s">
        <v>67</v>
      </c>
      <c r="E32" s="49"/>
      <c r="F32" s="49"/>
      <c r="G32" s="49"/>
      <c r="H32" s="25" t="str">
        <f>Gastro!$G32/Gastro!$F32</f>
        <v>#DIV/0!</v>
      </c>
    </row>
    <row r="33" ht="15.75" customHeight="1">
      <c r="B33" s="22">
        <v>30.0</v>
      </c>
      <c r="C33" s="52" t="s">
        <v>237</v>
      </c>
      <c r="D33" s="22" t="s">
        <v>52</v>
      </c>
      <c r="E33" s="22"/>
      <c r="F33" s="22"/>
      <c r="G33" s="22"/>
      <c r="H33" s="25" t="str">
        <f>Gastro!$G33/Gastro!$F33</f>
        <v>#DIV/0!</v>
      </c>
    </row>
    <row r="34" ht="15.75" customHeight="1">
      <c r="B34" s="22">
        <v>31.0</v>
      </c>
      <c r="C34" s="52" t="s">
        <v>238</v>
      </c>
      <c r="D34" s="22" t="s">
        <v>57</v>
      </c>
      <c r="E34" s="22"/>
      <c r="F34" s="22"/>
      <c r="G34" s="22"/>
      <c r="H34" s="25" t="str">
        <f>Gastro!$G34/Gastro!$F34</f>
        <v>#DIV/0!</v>
      </c>
    </row>
    <row r="35" ht="15.75" customHeight="1">
      <c r="B35" s="9" t="s">
        <v>28</v>
      </c>
      <c r="C35" s="54"/>
      <c r="D35" s="54"/>
      <c r="E35" s="22">
        <f>COUNTA(E4:E34)</f>
        <v>2</v>
      </c>
      <c r="F35" s="22">
        <f t="shared" ref="F35:G35" si="1">SUM(F4:F34)</f>
        <v>78</v>
      </c>
      <c r="G35" s="22">
        <f t="shared" si="1"/>
        <v>61</v>
      </c>
      <c r="H35" s="25">
        <f>Gastro!$G35/Gastro!$F35</f>
        <v>0.7820512821</v>
      </c>
    </row>
    <row r="36" ht="15.75" customHeight="1">
      <c r="B36" s="55"/>
      <c r="C36" s="55"/>
      <c r="D36" s="55"/>
      <c r="E36" s="55"/>
      <c r="F36" s="55"/>
      <c r="G36" s="55"/>
      <c r="H36" s="55"/>
    </row>
    <row r="37" ht="15.75" customHeight="1">
      <c r="B37" s="55"/>
      <c r="C37" s="55"/>
      <c r="D37" s="55"/>
      <c r="E37" s="55"/>
      <c r="F37" s="55"/>
      <c r="G37" s="55"/>
      <c r="H37" s="55"/>
    </row>
    <row r="38" ht="15.75" customHeight="1">
      <c r="B38" s="55"/>
      <c r="C38" s="55"/>
      <c r="D38" s="55"/>
      <c r="E38" s="55"/>
      <c r="F38" s="55"/>
      <c r="G38" s="55"/>
      <c r="H38" s="55"/>
    </row>
    <row r="39" ht="15.75" customHeight="1">
      <c r="B39" s="55"/>
      <c r="C39" s="55"/>
      <c r="D39" s="55"/>
      <c r="E39" s="55"/>
      <c r="F39" s="55"/>
      <c r="G39" s="55"/>
      <c r="H39" s="5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34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34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9.43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239</v>
      </c>
      <c r="D4" s="22" t="s">
        <v>49</v>
      </c>
      <c r="E4" s="49"/>
      <c r="F4" s="49"/>
      <c r="G4" s="49"/>
      <c r="H4" s="25" t="str">
        <f>Endocrino!$G4/Endocrino!$F4</f>
        <v>#DIV/0!</v>
      </c>
    </row>
    <row r="5">
      <c r="B5" s="22">
        <v>2.0</v>
      </c>
      <c r="C5" s="22" t="s">
        <v>239</v>
      </c>
      <c r="D5" s="22" t="s">
        <v>50</v>
      </c>
      <c r="E5" s="22"/>
      <c r="F5" s="22"/>
      <c r="G5" s="22"/>
      <c r="H5" s="25" t="str">
        <f>Endocrino!$G5/Endocrino!$F5</f>
        <v>#DIV/0!</v>
      </c>
      <c r="I5" s="50"/>
      <c r="J5" s="50"/>
    </row>
    <row r="6">
      <c r="B6" s="22">
        <v>3.0</v>
      </c>
      <c r="C6" s="22" t="s">
        <v>239</v>
      </c>
      <c r="D6" s="22" t="s">
        <v>52</v>
      </c>
      <c r="E6" s="22"/>
      <c r="F6" s="22"/>
      <c r="G6" s="22"/>
      <c r="H6" s="25" t="str">
        <f>Endocrino!$G6/Endocrino!$F6</f>
        <v>#DIV/0!</v>
      </c>
    </row>
    <row r="7">
      <c r="B7" s="22">
        <v>4.0</v>
      </c>
      <c r="C7" s="52" t="s">
        <v>240</v>
      </c>
      <c r="D7" s="22" t="s">
        <v>67</v>
      </c>
      <c r="E7" s="53" t="s">
        <v>40</v>
      </c>
      <c r="F7" s="53">
        <v>29.0</v>
      </c>
      <c r="G7" s="53">
        <v>21.0</v>
      </c>
      <c r="H7" s="25">
        <f>Endocrino!$G7/Endocrino!$F7</f>
        <v>0.724137931</v>
      </c>
    </row>
    <row r="8">
      <c r="B8" s="22">
        <v>5.0</v>
      </c>
      <c r="C8" s="22" t="s">
        <v>241</v>
      </c>
      <c r="D8" s="22" t="s">
        <v>49</v>
      </c>
      <c r="E8" s="22"/>
      <c r="F8" s="22"/>
      <c r="G8" s="22"/>
      <c r="H8" s="25" t="str">
        <f>Endocrino!$G8/Endocrino!$F8</f>
        <v>#DIV/0!</v>
      </c>
    </row>
    <row r="9">
      <c r="B9" s="22">
        <v>6.0</v>
      </c>
      <c r="C9" s="22" t="s">
        <v>241</v>
      </c>
      <c r="D9" s="22" t="s">
        <v>50</v>
      </c>
      <c r="E9" s="22"/>
      <c r="F9" s="22"/>
      <c r="G9" s="22"/>
      <c r="H9" s="25" t="str">
        <f>Endocrino!$G9/Endocrino!$F9</f>
        <v>#DIV/0!</v>
      </c>
    </row>
    <row r="10">
      <c r="B10" s="22">
        <v>7.0</v>
      </c>
      <c r="C10" s="22" t="s">
        <v>241</v>
      </c>
      <c r="D10" s="22" t="s">
        <v>52</v>
      </c>
      <c r="E10" s="22"/>
      <c r="F10" s="22"/>
      <c r="G10" s="22"/>
      <c r="H10" s="25" t="str">
        <f>Endocrino!$G10/Endocrino!$F10</f>
        <v>#DIV/0!</v>
      </c>
    </row>
    <row r="11">
      <c r="B11" s="22">
        <v>8.0</v>
      </c>
      <c r="C11" s="22" t="s">
        <v>242</v>
      </c>
      <c r="D11" s="22" t="s">
        <v>67</v>
      </c>
      <c r="E11" s="22"/>
      <c r="F11" s="22"/>
      <c r="G11" s="22"/>
      <c r="H11" s="25" t="str">
        <f>Endocrino!$G11/Endocrino!$F11</f>
        <v>#DIV/0!</v>
      </c>
    </row>
    <row r="12">
      <c r="B12" s="22">
        <v>9.0</v>
      </c>
      <c r="C12" s="52" t="s">
        <v>243</v>
      </c>
      <c r="D12" s="22" t="s">
        <v>67</v>
      </c>
      <c r="E12" s="22"/>
      <c r="F12" s="22"/>
      <c r="G12" s="22"/>
      <c r="H12" s="25" t="str">
        <f>Endocrino!$G12/Endocrino!$F12</f>
        <v>#DIV/0!</v>
      </c>
    </row>
    <row r="13">
      <c r="B13" s="22">
        <v>10.0</v>
      </c>
      <c r="C13" s="22" t="s">
        <v>244</v>
      </c>
      <c r="D13" s="22" t="s">
        <v>49</v>
      </c>
      <c r="E13" s="53" t="s">
        <v>40</v>
      </c>
      <c r="F13" s="53">
        <v>47.0</v>
      </c>
      <c r="G13" s="53">
        <v>34.0</v>
      </c>
      <c r="H13" s="25">
        <f>Endocrino!$G13/Endocrino!$F13</f>
        <v>0.7234042553</v>
      </c>
    </row>
    <row r="14">
      <c r="B14" s="22">
        <v>11.0</v>
      </c>
      <c r="C14" s="22" t="s">
        <v>244</v>
      </c>
      <c r="D14" s="22" t="s">
        <v>50</v>
      </c>
      <c r="E14" s="22"/>
      <c r="F14" s="22"/>
      <c r="G14" s="22"/>
      <c r="H14" s="25" t="str">
        <f>Endocrino!$G14/Endocrino!$F14</f>
        <v>#DIV/0!</v>
      </c>
    </row>
    <row r="15">
      <c r="B15" s="22">
        <v>12.0</v>
      </c>
      <c r="C15" s="22" t="s">
        <v>245</v>
      </c>
      <c r="D15" s="22" t="s">
        <v>67</v>
      </c>
      <c r="E15" s="22"/>
      <c r="F15" s="22"/>
      <c r="G15" s="22"/>
      <c r="H15" s="25" t="str">
        <f>Endocrino!$G15/Endocrino!$F15</f>
        <v>#DIV/0!</v>
      </c>
    </row>
    <row r="16">
      <c r="B16" s="22">
        <v>13.0</v>
      </c>
      <c r="C16" s="52" t="s">
        <v>246</v>
      </c>
      <c r="D16" s="22" t="s">
        <v>52</v>
      </c>
      <c r="E16" s="22"/>
      <c r="F16" s="22"/>
      <c r="G16" s="22"/>
      <c r="H16" s="25" t="str">
        <f>Endocrino!$G16/Endocrino!$F16</f>
        <v>#DIV/0!</v>
      </c>
    </row>
    <row r="17">
      <c r="B17" s="22">
        <v>14.0</v>
      </c>
      <c r="C17" s="52" t="s">
        <v>247</v>
      </c>
      <c r="D17" s="22" t="s">
        <v>57</v>
      </c>
      <c r="E17" s="22"/>
      <c r="F17" s="22"/>
      <c r="G17" s="22"/>
      <c r="H17" s="25" t="str">
        <f>Endocrino!$G17/Endocrino!$F17</f>
        <v>#DIV/0!</v>
      </c>
    </row>
    <row r="18">
      <c r="B18" s="22">
        <v>15.0</v>
      </c>
      <c r="C18" s="22" t="s">
        <v>248</v>
      </c>
      <c r="D18" s="22" t="s">
        <v>67</v>
      </c>
      <c r="E18" s="22"/>
      <c r="F18" s="22"/>
      <c r="G18" s="22"/>
      <c r="H18" s="25" t="str">
        <f>Endocrino!$G18/Endocrino!$F18</f>
        <v>#DIV/0!</v>
      </c>
    </row>
    <row r="19">
      <c r="B19" s="22">
        <v>16.0</v>
      </c>
      <c r="C19" s="22" t="s">
        <v>249</v>
      </c>
      <c r="D19" s="22" t="s">
        <v>67</v>
      </c>
      <c r="E19" s="22"/>
      <c r="F19" s="22"/>
      <c r="G19" s="22"/>
      <c r="H19" s="25" t="str">
        <f>Endocrino!$G19/Endocrino!$F19</f>
        <v>#DIV/0!</v>
      </c>
    </row>
    <row r="20">
      <c r="B20" s="22">
        <v>17.0</v>
      </c>
      <c r="C20" s="22" t="s">
        <v>250</v>
      </c>
      <c r="D20" s="22" t="s">
        <v>67</v>
      </c>
      <c r="E20" s="22"/>
      <c r="F20" s="22"/>
      <c r="G20" s="22"/>
      <c r="H20" s="25" t="str">
        <f>Endocrino!$G20/Endocrino!$F20</f>
        <v>#DIV/0!</v>
      </c>
    </row>
    <row r="21" ht="15.75" customHeight="1">
      <c r="B21" s="22">
        <v>18.0</v>
      </c>
      <c r="C21" s="22" t="s">
        <v>250</v>
      </c>
      <c r="D21" s="22" t="s">
        <v>52</v>
      </c>
      <c r="E21" s="22"/>
      <c r="F21" s="22"/>
      <c r="G21" s="22"/>
      <c r="H21" s="25" t="str">
        <f>Endocrino!$G21/Endocrino!$F21</f>
        <v>#DIV/0!</v>
      </c>
    </row>
    <row r="22" ht="15.75" customHeight="1">
      <c r="B22" s="22">
        <v>19.0</v>
      </c>
      <c r="C22" s="22" t="s">
        <v>251</v>
      </c>
      <c r="D22" s="22" t="s">
        <v>49</v>
      </c>
      <c r="E22" s="22"/>
      <c r="F22" s="22"/>
      <c r="G22" s="22"/>
      <c r="H22" s="25" t="str">
        <f>Endocrino!$G22/Endocrino!$F22</f>
        <v>#DIV/0!</v>
      </c>
    </row>
    <row r="23" ht="15.75" customHeight="1">
      <c r="B23" s="22">
        <v>20.0</v>
      </c>
      <c r="C23" s="22" t="s">
        <v>251</v>
      </c>
      <c r="D23" s="22" t="s">
        <v>50</v>
      </c>
      <c r="E23" s="22"/>
      <c r="F23" s="22"/>
      <c r="G23" s="22"/>
      <c r="H23" s="25" t="str">
        <f>Endocrino!$G23/Endocrino!$F23</f>
        <v>#DIV/0!</v>
      </c>
    </row>
    <row r="24" ht="15.75" customHeight="1">
      <c r="B24" s="22">
        <v>21.0</v>
      </c>
      <c r="C24" s="22" t="s">
        <v>251</v>
      </c>
      <c r="D24" s="22" t="s">
        <v>52</v>
      </c>
      <c r="E24" s="22"/>
      <c r="F24" s="22"/>
      <c r="G24" s="22"/>
      <c r="H24" s="25" t="str">
        <f>Endocrino!$G24/Endocrino!$F24</f>
        <v>#DIV/0!</v>
      </c>
    </row>
    <row r="25" ht="15.75" customHeight="1">
      <c r="B25" s="22">
        <v>22.0</v>
      </c>
      <c r="C25" s="52" t="s">
        <v>252</v>
      </c>
      <c r="D25" s="22" t="s">
        <v>57</v>
      </c>
      <c r="E25" s="22"/>
      <c r="F25" s="22"/>
      <c r="G25" s="22"/>
      <c r="H25" s="25" t="str">
        <f>Endocrino!$G25/Endocrino!$F25</f>
        <v>#DIV/0!</v>
      </c>
    </row>
    <row r="26" ht="15.75" customHeight="1">
      <c r="B26" s="22">
        <v>23.0</v>
      </c>
      <c r="C26" s="22" t="s">
        <v>253</v>
      </c>
      <c r="D26" s="22" t="s">
        <v>49</v>
      </c>
      <c r="E26" s="49"/>
      <c r="F26" s="49"/>
      <c r="G26" s="49"/>
      <c r="H26" s="25" t="str">
        <f>Endocrino!$G26/Endocrino!$F26</f>
        <v>#DIV/0!</v>
      </c>
    </row>
    <row r="27" ht="15.75" customHeight="1">
      <c r="B27" s="22">
        <v>24.0</v>
      </c>
      <c r="C27" s="22" t="s">
        <v>253</v>
      </c>
      <c r="D27" s="22" t="s">
        <v>50</v>
      </c>
      <c r="E27" s="49"/>
      <c r="F27" s="22"/>
      <c r="G27" s="22"/>
      <c r="H27" s="25" t="str">
        <f>Endocrino!$G27/Endocrino!$F27</f>
        <v>#DIV/0!</v>
      </c>
    </row>
    <row r="28" ht="15.75" customHeight="1">
      <c r="B28" s="22">
        <v>25.0</v>
      </c>
      <c r="C28" s="22" t="s">
        <v>253</v>
      </c>
      <c r="D28" s="22" t="s">
        <v>52</v>
      </c>
      <c r="E28" s="22"/>
      <c r="F28" s="22"/>
      <c r="G28" s="22"/>
      <c r="H28" s="25" t="str">
        <f>Endocrino!$G28/Endocrino!$F28</f>
        <v>#DIV/0!</v>
      </c>
    </row>
    <row r="29" ht="15.75" customHeight="1">
      <c r="B29" s="22">
        <v>26.0</v>
      </c>
      <c r="C29" s="22" t="s">
        <v>254</v>
      </c>
      <c r="D29" s="22" t="s">
        <v>49</v>
      </c>
      <c r="E29" s="22"/>
      <c r="F29" s="22"/>
      <c r="G29" s="22"/>
      <c r="H29" s="25" t="str">
        <f>Endocrino!$G29/Endocrino!$F29</f>
        <v>#DIV/0!</v>
      </c>
    </row>
    <row r="30" ht="15.75" customHeight="1">
      <c r="B30" s="22">
        <v>27.0</v>
      </c>
      <c r="C30" s="22" t="s">
        <v>254</v>
      </c>
      <c r="D30" s="22" t="s">
        <v>50</v>
      </c>
      <c r="E30" s="22"/>
      <c r="F30" s="22"/>
      <c r="G30" s="22"/>
      <c r="H30" s="25" t="str">
        <f>Endocrino!$G30/Endocrino!$F30</f>
        <v>#DIV/0!</v>
      </c>
    </row>
    <row r="31" ht="15.75" customHeight="1">
      <c r="B31" s="22">
        <v>28.0</v>
      </c>
      <c r="C31" s="22" t="s">
        <v>254</v>
      </c>
      <c r="D31" s="22" t="s">
        <v>52</v>
      </c>
      <c r="E31" s="22"/>
      <c r="F31" s="22"/>
      <c r="G31" s="22"/>
      <c r="H31" s="25" t="str">
        <f>Endocrino!$G31/Endocrino!$F31</f>
        <v>#DIV/0!</v>
      </c>
    </row>
    <row r="32" ht="15.75" customHeight="1">
      <c r="B32" s="22">
        <v>29.0</v>
      </c>
      <c r="C32" s="22" t="s">
        <v>255</v>
      </c>
      <c r="D32" s="22" t="s">
        <v>49</v>
      </c>
      <c r="E32" s="22"/>
      <c r="F32" s="22"/>
      <c r="G32" s="22"/>
      <c r="H32" s="25" t="str">
        <f>Endocrino!$G32/Endocrino!$F32</f>
        <v>#DIV/0!</v>
      </c>
    </row>
    <row r="33" ht="15.75" customHeight="1">
      <c r="B33" s="22">
        <v>30.0</v>
      </c>
      <c r="C33" s="22" t="s">
        <v>255</v>
      </c>
      <c r="D33" s="22" t="s">
        <v>50</v>
      </c>
      <c r="E33" s="22"/>
      <c r="F33" s="22"/>
      <c r="G33" s="22"/>
      <c r="H33" s="25" t="str">
        <f>Endocrino!$G33/Endocrino!$F33</f>
        <v>#DIV/0!</v>
      </c>
    </row>
    <row r="34" ht="15.75" customHeight="1">
      <c r="B34" s="22">
        <v>31.0</v>
      </c>
      <c r="C34" s="22" t="s">
        <v>255</v>
      </c>
      <c r="D34" s="22" t="s">
        <v>52</v>
      </c>
      <c r="E34" s="22"/>
      <c r="F34" s="22"/>
      <c r="G34" s="22"/>
      <c r="H34" s="25" t="str">
        <f>Endocrino!$G34/Endocrino!$F34</f>
        <v>#DIV/0!</v>
      </c>
    </row>
    <row r="35" ht="15.75" customHeight="1">
      <c r="B35" s="22">
        <v>32.0</v>
      </c>
      <c r="C35" s="52" t="s">
        <v>256</v>
      </c>
      <c r="D35" s="22" t="s">
        <v>57</v>
      </c>
      <c r="E35" s="22"/>
      <c r="F35" s="22"/>
      <c r="G35" s="22"/>
      <c r="H35" s="25" t="str">
        <f>Endocrino!$G35/Endocrino!$F35</f>
        <v>#DIV/0!</v>
      </c>
    </row>
    <row r="36" ht="15.75" customHeight="1">
      <c r="B36" s="9" t="s">
        <v>28</v>
      </c>
      <c r="C36" s="54"/>
      <c r="D36" s="54"/>
      <c r="E36" s="22">
        <f>COUNTA(E4:E35)</f>
        <v>2</v>
      </c>
      <c r="F36" s="22">
        <f t="shared" ref="F36:G36" si="1">SUM(F4:F35)</f>
        <v>76</v>
      </c>
      <c r="G36" s="22">
        <f t="shared" si="1"/>
        <v>55</v>
      </c>
      <c r="H36" s="25">
        <f>Endocrino!$G36/Endocrino!$F36</f>
        <v>0.7236842105</v>
      </c>
    </row>
    <row r="37" ht="15.75" customHeight="1">
      <c r="B37" s="55"/>
      <c r="C37" s="55"/>
      <c r="D37" s="55"/>
      <c r="E37" s="55"/>
      <c r="F37" s="55"/>
      <c r="G37" s="55"/>
      <c r="H37" s="55"/>
    </row>
    <row r="38" ht="15.75" customHeight="1">
      <c r="B38" s="55"/>
      <c r="C38" s="55"/>
      <c r="D38" s="55"/>
      <c r="E38" s="55"/>
      <c r="F38" s="55"/>
      <c r="G38" s="55"/>
      <c r="H38" s="55"/>
    </row>
    <row r="39" ht="15.75" customHeight="1">
      <c r="B39" s="55"/>
      <c r="C39" s="55"/>
      <c r="D39" s="55"/>
      <c r="E39" s="55"/>
      <c r="F39" s="55"/>
      <c r="G39" s="55"/>
      <c r="H39" s="55"/>
    </row>
    <row r="40" ht="15.75" customHeight="1">
      <c r="B40" s="55"/>
      <c r="C40" s="55"/>
      <c r="D40" s="55"/>
      <c r="E40" s="55"/>
      <c r="F40" s="55"/>
      <c r="G40" s="55"/>
      <c r="H40" s="5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35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35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7.43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257</v>
      </c>
      <c r="D4" s="22" t="s">
        <v>49</v>
      </c>
      <c r="E4" s="49"/>
      <c r="F4" s="49"/>
      <c r="G4" s="49"/>
      <c r="H4" s="25" t="str">
        <f>Cardiologia!$G4/Cardiologia!$F4</f>
        <v>#DIV/0!</v>
      </c>
    </row>
    <row r="5">
      <c r="B5" s="22">
        <v>2.0</v>
      </c>
      <c r="C5" s="22" t="s">
        <v>257</v>
      </c>
      <c r="D5" s="22" t="s">
        <v>50</v>
      </c>
      <c r="E5" s="22"/>
      <c r="F5" s="22"/>
      <c r="G5" s="22"/>
      <c r="H5" s="25" t="str">
        <f>Cardiologia!$G5/Cardiologia!$F5</f>
        <v>#DIV/0!</v>
      </c>
      <c r="I5" s="50"/>
      <c r="J5" s="50"/>
    </row>
    <row r="6">
      <c r="B6" s="22">
        <v>3.0</v>
      </c>
      <c r="C6" s="22" t="s">
        <v>258</v>
      </c>
      <c r="D6" s="22" t="s">
        <v>49</v>
      </c>
      <c r="E6" s="22"/>
      <c r="F6" s="22"/>
      <c r="G6" s="22"/>
      <c r="H6" s="25" t="str">
        <f>Cardiologia!$G6/Cardiologia!$F6</f>
        <v>#DIV/0!</v>
      </c>
    </row>
    <row r="7">
      <c r="B7" s="22">
        <v>4.0</v>
      </c>
      <c r="C7" s="52" t="s">
        <v>259</v>
      </c>
      <c r="D7" s="22" t="s">
        <v>101</v>
      </c>
      <c r="E7" s="22"/>
      <c r="F7" s="22"/>
      <c r="G7" s="22"/>
      <c r="H7" s="25" t="str">
        <f>Cardiologia!$G7/Cardiologia!$F7</f>
        <v>#DIV/0!</v>
      </c>
    </row>
    <row r="8">
      <c r="B8" s="22">
        <v>5.0</v>
      </c>
      <c r="C8" s="22" t="s">
        <v>258</v>
      </c>
      <c r="D8" s="22" t="s">
        <v>50</v>
      </c>
      <c r="E8" s="22"/>
      <c r="F8" s="22"/>
      <c r="G8" s="22"/>
      <c r="H8" s="25" t="str">
        <f>Cardiologia!$G8/Cardiologia!$F8</f>
        <v>#DIV/0!</v>
      </c>
    </row>
    <row r="9">
      <c r="B9" s="22">
        <v>6.0</v>
      </c>
      <c r="C9" s="22" t="s">
        <v>260</v>
      </c>
      <c r="D9" s="22" t="s">
        <v>49</v>
      </c>
      <c r="E9" s="22"/>
      <c r="F9" s="22"/>
      <c r="G9" s="22"/>
      <c r="H9" s="25" t="str">
        <f>Cardiologia!$G9/Cardiologia!$F9</f>
        <v>#DIV/0!</v>
      </c>
    </row>
    <row r="10">
      <c r="B10" s="22">
        <v>7.0</v>
      </c>
      <c r="C10" s="22" t="s">
        <v>260</v>
      </c>
      <c r="D10" s="22" t="s">
        <v>50</v>
      </c>
      <c r="E10" s="22"/>
      <c r="F10" s="22"/>
      <c r="G10" s="22"/>
      <c r="H10" s="25" t="str">
        <f>Cardiologia!$G10/Cardiologia!$F10</f>
        <v>#DIV/0!</v>
      </c>
    </row>
    <row r="11">
      <c r="B11" s="22">
        <v>8.0</v>
      </c>
      <c r="C11" s="52" t="s">
        <v>261</v>
      </c>
      <c r="D11" s="22" t="s">
        <v>52</v>
      </c>
      <c r="E11" s="22"/>
      <c r="F11" s="22"/>
      <c r="G11" s="22"/>
      <c r="H11" s="25" t="str">
        <f>Cardiologia!$G11/Cardiologia!$F11</f>
        <v>#DIV/0!</v>
      </c>
    </row>
    <row r="12">
      <c r="B12" s="22">
        <v>9.0</v>
      </c>
      <c r="C12" s="22" t="s">
        <v>262</v>
      </c>
      <c r="D12" s="22" t="s">
        <v>67</v>
      </c>
      <c r="E12" s="22"/>
      <c r="F12" s="22"/>
      <c r="G12" s="22"/>
      <c r="H12" s="25" t="str">
        <f>Cardiologia!$G12/Cardiologia!$F12</f>
        <v>#DIV/0!</v>
      </c>
    </row>
    <row r="13">
      <c r="B13" s="22">
        <v>10.0</v>
      </c>
      <c r="C13" s="22" t="s">
        <v>262</v>
      </c>
      <c r="D13" s="22" t="s">
        <v>52</v>
      </c>
      <c r="E13" s="22"/>
      <c r="F13" s="22"/>
      <c r="G13" s="22"/>
      <c r="H13" s="25" t="str">
        <f>Cardiologia!$G13/Cardiologia!$F13</f>
        <v>#DIV/0!</v>
      </c>
    </row>
    <row r="14">
      <c r="B14" s="22">
        <v>11.0</v>
      </c>
      <c r="C14" s="52" t="s">
        <v>263</v>
      </c>
      <c r="D14" s="22" t="s">
        <v>57</v>
      </c>
      <c r="E14" s="22"/>
      <c r="F14" s="22"/>
      <c r="G14" s="22"/>
      <c r="H14" s="25" t="str">
        <f>Cardiologia!$G14/Cardiologia!$F14</f>
        <v>#DIV/0!</v>
      </c>
    </row>
    <row r="15">
      <c r="B15" s="22">
        <v>12.0</v>
      </c>
      <c r="C15" s="22" t="s">
        <v>264</v>
      </c>
      <c r="D15" s="22" t="s">
        <v>49</v>
      </c>
      <c r="E15" s="53" t="s">
        <v>40</v>
      </c>
      <c r="F15" s="53">
        <v>13.0</v>
      </c>
      <c r="G15" s="53">
        <v>7.0</v>
      </c>
      <c r="H15" s="25">
        <f>Cardiologia!$G15/Cardiologia!$F15</f>
        <v>0.5384615385</v>
      </c>
    </row>
    <row r="16">
      <c r="B16" s="22">
        <v>13.0</v>
      </c>
      <c r="C16" s="22" t="s">
        <v>264</v>
      </c>
      <c r="D16" s="22" t="s">
        <v>50</v>
      </c>
      <c r="E16" s="49"/>
      <c r="F16" s="22"/>
      <c r="G16" s="22"/>
      <c r="H16" s="25" t="str">
        <f>Cardiologia!$G16/Cardiologia!$F16</f>
        <v>#DIV/0!</v>
      </c>
    </row>
    <row r="17">
      <c r="B17" s="22">
        <v>14.0</v>
      </c>
      <c r="C17" s="22" t="s">
        <v>264</v>
      </c>
      <c r="D17" s="22" t="s">
        <v>52</v>
      </c>
      <c r="E17" s="22"/>
      <c r="F17" s="22"/>
      <c r="G17" s="22"/>
      <c r="H17" s="25" t="str">
        <f>Cardiologia!$G17/Cardiologia!$F17</f>
        <v>#DIV/0!</v>
      </c>
    </row>
    <row r="18">
      <c r="B18" s="22">
        <v>15.0</v>
      </c>
      <c r="C18" s="52" t="s">
        <v>265</v>
      </c>
      <c r="D18" s="22" t="s">
        <v>67</v>
      </c>
      <c r="E18" s="22"/>
      <c r="F18" s="22"/>
      <c r="G18" s="22"/>
      <c r="H18" s="25" t="str">
        <f>Cardiologia!$G18/Cardiologia!$F18</f>
        <v>#DIV/0!</v>
      </c>
    </row>
    <row r="19">
      <c r="B19" s="22">
        <v>16.0</v>
      </c>
      <c r="C19" s="22" t="s">
        <v>266</v>
      </c>
      <c r="D19" s="22" t="s">
        <v>67</v>
      </c>
      <c r="E19" s="22"/>
      <c r="F19" s="22"/>
      <c r="G19" s="22"/>
      <c r="H19" s="25" t="str">
        <f>Cardiologia!$G19/Cardiologia!$F19</f>
        <v>#DIV/0!</v>
      </c>
    </row>
    <row r="20">
      <c r="B20" s="22">
        <v>17.0</v>
      </c>
      <c r="C20" s="22" t="s">
        <v>267</v>
      </c>
      <c r="D20" s="22" t="s">
        <v>49</v>
      </c>
      <c r="E20" s="53" t="s">
        <v>40</v>
      </c>
      <c r="F20" s="53">
        <v>13.0</v>
      </c>
      <c r="G20" s="53">
        <v>8.0</v>
      </c>
      <c r="H20" s="25">
        <f>Cardiologia!$G20/Cardiologia!$F20</f>
        <v>0.6153846154</v>
      </c>
    </row>
    <row r="21" ht="15.75" customHeight="1">
      <c r="B21" s="22">
        <v>18.0</v>
      </c>
      <c r="C21" s="22" t="s">
        <v>267</v>
      </c>
      <c r="D21" s="22" t="s">
        <v>50</v>
      </c>
      <c r="E21" s="49"/>
      <c r="F21" s="22"/>
      <c r="G21" s="22"/>
      <c r="H21" s="25" t="str">
        <f>Cardiologia!$G21/Cardiologia!$F21</f>
        <v>#DIV/0!</v>
      </c>
    </row>
    <row r="22" ht="15.75" customHeight="1">
      <c r="B22" s="22">
        <v>19.0</v>
      </c>
      <c r="C22" s="22" t="s">
        <v>268</v>
      </c>
      <c r="D22" s="22" t="s">
        <v>67</v>
      </c>
      <c r="E22" s="49"/>
      <c r="F22" s="49"/>
      <c r="G22" s="49"/>
      <c r="H22" s="25" t="str">
        <f>Cardiologia!$G22/Cardiologia!$F22</f>
        <v>#DIV/0!</v>
      </c>
    </row>
    <row r="23" ht="15.75" customHeight="1">
      <c r="B23" s="22">
        <v>20.0</v>
      </c>
      <c r="C23" s="52" t="s">
        <v>269</v>
      </c>
      <c r="D23" s="22" t="s">
        <v>52</v>
      </c>
      <c r="E23" s="22"/>
      <c r="F23" s="22"/>
      <c r="G23" s="22"/>
      <c r="H23" s="25" t="str">
        <f>Cardiologia!$G23/Cardiologia!$F23</f>
        <v>#DIV/0!</v>
      </c>
    </row>
    <row r="24" ht="15.75" customHeight="1">
      <c r="B24" s="22">
        <v>21.0</v>
      </c>
      <c r="C24" s="52" t="s">
        <v>270</v>
      </c>
      <c r="D24" s="22" t="s">
        <v>67</v>
      </c>
      <c r="E24" s="22"/>
      <c r="F24" s="22"/>
      <c r="G24" s="22"/>
      <c r="H24" s="25" t="str">
        <f>Cardiologia!$G24/Cardiologia!$F24</f>
        <v>#DIV/0!</v>
      </c>
    </row>
    <row r="25" ht="15.75" customHeight="1">
      <c r="B25" s="22">
        <v>22.0</v>
      </c>
      <c r="C25" s="52" t="s">
        <v>271</v>
      </c>
      <c r="D25" s="22" t="s">
        <v>67</v>
      </c>
      <c r="E25" s="22"/>
      <c r="F25" s="22"/>
      <c r="G25" s="22"/>
      <c r="H25" s="25" t="str">
        <f>Cardiologia!$G25/Cardiologia!$F25</f>
        <v>#DIV/0!</v>
      </c>
    </row>
    <row r="26" ht="15.75" customHeight="1">
      <c r="B26" s="22">
        <v>23.0</v>
      </c>
      <c r="C26" s="22" t="s">
        <v>272</v>
      </c>
      <c r="D26" s="22" t="s">
        <v>49</v>
      </c>
      <c r="E26" s="22"/>
      <c r="F26" s="22"/>
      <c r="G26" s="22"/>
      <c r="H26" s="25" t="str">
        <f>Cardiologia!$G26/Cardiologia!$F26</f>
        <v>#DIV/0!</v>
      </c>
    </row>
    <row r="27" ht="15.75" customHeight="1">
      <c r="B27" s="22">
        <v>24.0</v>
      </c>
      <c r="C27" s="22" t="s">
        <v>272</v>
      </c>
      <c r="D27" s="22" t="s">
        <v>50</v>
      </c>
      <c r="E27" s="22"/>
      <c r="F27" s="22"/>
      <c r="G27" s="22"/>
      <c r="H27" s="25" t="str">
        <f>Cardiologia!$G27/Cardiologia!$F27</f>
        <v>#DIV/0!</v>
      </c>
    </row>
    <row r="28" ht="15.75" customHeight="1">
      <c r="B28" s="22">
        <v>25.0</v>
      </c>
      <c r="C28" s="22" t="s">
        <v>272</v>
      </c>
      <c r="D28" s="22" t="s">
        <v>51</v>
      </c>
      <c r="E28" s="22"/>
      <c r="F28" s="22"/>
      <c r="G28" s="22"/>
      <c r="H28" s="25" t="str">
        <f>Cardiologia!$G28/Cardiologia!$F28</f>
        <v>#DIV/0!</v>
      </c>
    </row>
    <row r="29" ht="15.75" customHeight="1">
      <c r="B29" s="22">
        <v>26.0</v>
      </c>
      <c r="C29" s="22" t="s">
        <v>272</v>
      </c>
      <c r="D29" s="22" t="s">
        <v>52</v>
      </c>
      <c r="E29" s="22"/>
      <c r="F29" s="22"/>
      <c r="G29" s="22"/>
      <c r="H29" s="25" t="str">
        <f>Cardiologia!$G29/Cardiologia!$F29</f>
        <v>#DIV/0!</v>
      </c>
    </row>
    <row r="30" ht="15.75" customHeight="1">
      <c r="B30" s="22">
        <v>27.0</v>
      </c>
      <c r="C30" s="52" t="s">
        <v>273</v>
      </c>
      <c r="D30" s="22" t="s">
        <v>67</v>
      </c>
      <c r="E30" s="49"/>
      <c r="F30" s="22"/>
      <c r="G30" s="22"/>
      <c r="H30" s="25" t="str">
        <f>Cardiologia!$G30/Cardiologia!$F30</f>
        <v>#DIV/0!</v>
      </c>
    </row>
    <row r="31" ht="15.75" customHeight="1">
      <c r="B31" s="22">
        <v>28.0</v>
      </c>
      <c r="C31" s="52" t="s">
        <v>274</v>
      </c>
      <c r="D31" s="22" t="s">
        <v>67</v>
      </c>
      <c r="E31" s="22"/>
      <c r="F31" s="22"/>
      <c r="G31" s="22"/>
      <c r="H31" s="25" t="str">
        <f>Cardiologia!$G31/Cardiologia!$F31</f>
        <v>#DIV/0!</v>
      </c>
    </row>
    <row r="32" ht="15.75" customHeight="1">
      <c r="B32" s="22">
        <v>29.0</v>
      </c>
      <c r="C32" s="22" t="s">
        <v>275</v>
      </c>
      <c r="D32" s="22" t="s">
        <v>49</v>
      </c>
      <c r="E32" s="49"/>
      <c r="F32" s="22"/>
      <c r="G32" s="22"/>
      <c r="H32" s="25" t="str">
        <f>Cardiologia!$G32/Cardiologia!$F32</f>
        <v>#DIV/0!</v>
      </c>
    </row>
    <row r="33" ht="15.75" customHeight="1">
      <c r="B33" s="22">
        <v>30.0</v>
      </c>
      <c r="C33" s="22" t="s">
        <v>275</v>
      </c>
      <c r="D33" s="22" t="s">
        <v>50</v>
      </c>
      <c r="E33" s="49"/>
      <c r="F33" s="22"/>
      <c r="G33" s="22"/>
      <c r="H33" s="25" t="str">
        <f>Cardiologia!$G33/Cardiologia!$F33</f>
        <v>#DIV/0!</v>
      </c>
    </row>
    <row r="34" ht="15.75" customHeight="1">
      <c r="B34" s="22">
        <v>31.0</v>
      </c>
      <c r="C34" s="22" t="s">
        <v>275</v>
      </c>
      <c r="D34" s="22" t="s">
        <v>52</v>
      </c>
      <c r="E34" s="22"/>
      <c r="F34" s="22"/>
      <c r="G34" s="22"/>
      <c r="H34" s="25" t="str">
        <f>Cardiologia!$G34/Cardiologia!$F34</f>
        <v>#DIV/0!</v>
      </c>
    </row>
    <row r="35" ht="15.75" customHeight="1">
      <c r="B35" s="22">
        <v>32.0</v>
      </c>
      <c r="C35" s="52" t="s">
        <v>276</v>
      </c>
      <c r="D35" s="22" t="s">
        <v>57</v>
      </c>
      <c r="E35" s="22"/>
      <c r="F35" s="22"/>
      <c r="G35" s="22"/>
      <c r="H35" s="25" t="str">
        <f>Cardiologia!$G35/Cardiologia!$F35</f>
        <v>#DIV/0!</v>
      </c>
    </row>
    <row r="36" ht="15.75" customHeight="1">
      <c r="B36" s="9" t="s">
        <v>28</v>
      </c>
      <c r="C36" s="54"/>
      <c r="D36" s="54"/>
      <c r="E36" s="22">
        <f>COUNTA(E4:E35)</f>
        <v>2</v>
      </c>
      <c r="F36" s="22">
        <f t="shared" ref="F36:G36" si="1">SUM(F4:F35)</f>
        <v>26</v>
      </c>
      <c r="G36" s="22">
        <f t="shared" si="1"/>
        <v>15</v>
      </c>
      <c r="H36" s="25">
        <f>Cardiologia!$G36/Cardiologia!$F36</f>
        <v>0.5769230769</v>
      </c>
    </row>
    <row r="37" ht="15.75" customHeight="1">
      <c r="B37" s="55"/>
      <c r="C37" s="55"/>
      <c r="D37" s="55"/>
      <c r="E37" s="55"/>
      <c r="F37" s="55"/>
      <c r="G37" s="55"/>
      <c r="H37" s="55"/>
    </row>
    <row r="38" ht="15.75" customHeight="1">
      <c r="B38" s="55"/>
      <c r="C38" s="55"/>
      <c r="D38" s="55"/>
      <c r="E38" s="55"/>
      <c r="F38" s="55"/>
      <c r="G38" s="55"/>
      <c r="H38" s="55"/>
    </row>
    <row r="39" ht="15.75" customHeight="1">
      <c r="B39" s="55"/>
      <c r="C39" s="55"/>
      <c r="D39" s="55"/>
      <c r="E39" s="55"/>
      <c r="F39" s="55"/>
      <c r="G39" s="55"/>
      <c r="H39" s="55"/>
    </row>
    <row r="40" ht="15.75" customHeight="1">
      <c r="B40" s="55"/>
      <c r="C40" s="55"/>
      <c r="D40" s="55"/>
      <c r="E40" s="55"/>
      <c r="F40" s="55"/>
      <c r="G40" s="55"/>
      <c r="H40" s="5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35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35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1.57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277</v>
      </c>
      <c r="D4" s="22" t="s">
        <v>49</v>
      </c>
      <c r="E4" s="22"/>
      <c r="F4" s="49"/>
      <c r="G4" s="49"/>
      <c r="H4" s="25" t="str">
        <f>Psiquiatria!$G4/Psiquiatria!$F4</f>
        <v>#DIV/0!</v>
      </c>
    </row>
    <row r="5">
      <c r="B5" s="22">
        <v>2.0</v>
      </c>
      <c r="C5" s="22" t="s">
        <v>277</v>
      </c>
      <c r="D5" s="22" t="s">
        <v>50</v>
      </c>
      <c r="E5" s="22"/>
      <c r="F5" s="22"/>
      <c r="G5" s="22"/>
      <c r="H5" s="25" t="str">
        <f>Psiquiatria!$G5/Psiquiatria!$F5</f>
        <v>#DIV/0!</v>
      </c>
      <c r="I5" s="50"/>
      <c r="J5" s="50"/>
    </row>
    <row r="6">
      <c r="B6" s="22">
        <v>3.0</v>
      </c>
      <c r="C6" s="22" t="s">
        <v>277</v>
      </c>
      <c r="D6" s="22" t="s">
        <v>52</v>
      </c>
      <c r="E6" s="22"/>
      <c r="F6" s="22"/>
      <c r="G6" s="22"/>
      <c r="H6" s="25" t="str">
        <f>Psiquiatria!$G6/Psiquiatria!$F6</f>
        <v>#DIV/0!</v>
      </c>
    </row>
    <row r="7" ht="24.0" customHeight="1">
      <c r="B7" s="22">
        <v>4.0</v>
      </c>
      <c r="C7" s="22" t="s">
        <v>278</v>
      </c>
      <c r="D7" s="22" t="s">
        <v>49</v>
      </c>
      <c r="E7" s="22"/>
      <c r="F7" s="22"/>
      <c r="G7" s="22"/>
      <c r="H7" s="25" t="str">
        <f>Psiquiatria!$G7/Psiquiatria!$F7</f>
        <v>#DIV/0!</v>
      </c>
    </row>
    <row r="8">
      <c r="B8" s="22">
        <v>5.0</v>
      </c>
      <c r="C8" s="22" t="s">
        <v>278</v>
      </c>
      <c r="D8" s="22" t="s">
        <v>50</v>
      </c>
      <c r="E8" s="22"/>
      <c r="F8" s="22"/>
      <c r="G8" s="22"/>
      <c r="H8" s="25" t="str">
        <f>Psiquiatria!$G8/Psiquiatria!$F8</f>
        <v>#DIV/0!</v>
      </c>
    </row>
    <row r="9">
      <c r="B9" s="22">
        <v>6.0</v>
      </c>
      <c r="C9" s="22" t="s">
        <v>278</v>
      </c>
      <c r="D9" s="22" t="s">
        <v>52</v>
      </c>
      <c r="E9" s="22"/>
      <c r="F9" s="22"/>
      <c r="G9" s="22"/>
      <c r="H9" s="25" t="str">
        <f>Psiquiatria!$G9/Psiquiatria!$F9</f>
        <v>#DIV/0!</v>
      </c>
    </row>
    <row r="10">
      <c r="B10" s="22">
        <v>7.0</v>
      </c>
      <c r="C10" s="22" t="s">
        <v>279</v>
      </c>
      <c r="D10" s="22" t="s">
        <v>67</v>
      </c>
      <c r="E10" s="49"/>
      <c r="F10" s="22"/>
      <c r="G10" s="22"/>
      <c r="H10" s="25" t="str">
        <f>Psiquiatria!$G10/Psiquiatria!$F10</f>
        <v>#DIV/0!</v>
      </c>
    </row>
    <row r="11">
      <c r="B11" s="22">
        <v>8.0</v>
      </c>
      <c r="C11" s="22" t="s">
        <v>280</v>
      </c>
      <c r="D11" s="22" t="s">
        <v>67</v>
      </c>
      <c r="E11" s="22"/>
      <c r="F11" s="22"/>
      <c r="G11" s="22"/>
      <c r="H11" s="25" t="str">
        <f>Psiquiatria!$G11/Psiquiatria!$F11</f>
        <v>#DIV/0!</v>
      </c>
    </row>
    <row r="12">
      <c r="B12" s="22">
        <v>9.0</v>
      </c>
      <c r="C12" s="22" t="s">
        <v>281</v>
      </c>
      <c r="D12" s="22" t="s">
        <v>67</v>
      </c>
      <c r="E12" s="49"/>
      <c r="F12" s="49"/>
      <c r="G12" s="49"/>
      <c r="H12" s="25" t="str">
        <f>Psiquiatria!$G12/Psiquiatria!$F12</f>
        <v>#DIV/0!</v>
      </c>
    </row>
    <row r="13">
      <c r="B13" s="22">
        <v>10.0</v>
      </c>
      <c r="C13" s="22" t="s">
        <v>281</v>
      </c>
      <c r="D13" s="22" t="s">
        <v>52</v>
      </c>
      <c r="E13" s="22"/>
      <c r="F13" s="22"/>
      <c r="G13" s="22"/>
      <c r="H13" s="25" t="str">
        <f>Psiquiatria!$G13/Psiquiatria!$F13</f>
        <v>#DIV/0!</v>
      </c>
    </row>
    <row r="14">
      <c r="B14" s="22">
        <v>11.0</v>
      </c>
      <c r="C14" s="22" t="s">
        <v>282</v>
      </c>
      <c r="D14" s="22" t="s">
        <v>67</v>
      </c>
      <c r="E14" s="22"/>
      <c r="F14" s="22"/>
      <c r="G14" s="22"/>
      <c r="H14" s="25" t="str">
        <f>Psiquiatria!$G14/Psiquiatria!$F14</f>
        <v>#DIV/0!</v>
      </c>
    </row>
    <row r="15">
      <c r="B15" s="22">
        <v>12.0</v>
      </c>
      <c r="C15" s="22" t="s">
        <v>283</v>
      </c>
      <c r="D15" s="22" t="s">
        <v>67</v>
      </c>
      <c r="E15" s="49"/>
      <c r="F15" s="22"/>
      <c r="G15" s="22"/>
      <c r="H15" s="25" t="str">
        <f>Psiquiatria!$G15/Psiquiatria!$F15</f>
        <v>#DIV/0!</v>
      </c>
    </row>
    <row r="16">
      <c r="B16" s="22">
        <v>13.0</v>
      </c>
      <c r="C16" s="22" t="s">
        <v>283</v>
      </c>
      <c r="D16" s="22" t="s">
        <v>52</v>
      </c>
      <c r="E16" s="22"/>
      <c r="F16" s="22"/>
      <c r="G16" s="22"/>
      <c r="H16" s="25" t="str">
        <f>Psiquiatria!$G16/Psiquiatria!$F16</f>
        <v>#DIV/0!</v>
      </c>
    </row>
    <row r="17">
      <c r="B17" s="22">
        <v>14.0</v>
      </c>
      <c r="C17" s="22" t="s">
        <v>284</v>
      </c>
      <c r="D17" s="22" t="s">
        <v>67</v>
      </c>
      <c r="E17" s="22"/>
      <c r="F17" s="22"/>
      <c r="G17" s="22"/>
      <c r="H17" s="25" t="str">
        <f>Psiquiatria!$G17/Psiquiatria!$F17</f>
        <v>#DIV/0!</v>
      </c>
    </row>
    <row r="18">
      <c r="B18" s="22">
        <v>15.0</v>
      </c>
      <c r="C18" s="22" t="s">
        <v>284</v>
      </c>
      <c r="D18" s="22" t="s">
        <v>52</v>
      </c>
      <c r="E18" s="22"/>
      <c r="F18" s="22"/>
      <c r="G18" s="22"/>
      <c r="H18" s="25" t="str">
        <f>Psiquiatria!$G18/Psiquiatria!$F18</f>
        <v>#DIV/0!</v>
      </c>
    </row>
    <row r="19">
      <c r="B19" s="22">
        <v>16.0</v>
      </c>
      <c r="C19" s="52" t="s">
        <v>285</v>
      </c>
      <c r="D19" s="22" t="s">
        <v>67</v>
      </c>
      <c r="E19" s="49"/>
      <c r="F19" s="22"/>
      <c r="G19" s="22"/>
      <c r="H19" s="25" t="str">
        <f>Psiquiatria!$G19/Psiquiatria!$F19</f>
        <v>#DIV/0!</v>
      </c>
    </row>
    <row r="20">
      <c r="B20" s="22">
        <v>17.0</v>
      </c>
      <c r="C20" s="52" t="s">
        <v>285</v>
      </c>
      <c r="D20" s="22" t="s">
        <v>52</v>
      </c>
      <c r="E20" s="22"/>
      <c r="F20" s="22"/>
      <c r="G20" s="22"/>
      <c r="H20" s="25" t="str">
        <f>Psiquiatria!$G20/Psiquiatria!$F20</f>
        <v>#DIV/0!</v>
      </c>
    </row>
    <row r="21" ht="15.75" customHeight="1">
      <c r="B21" s="9" t="s">
        <v>28</v>
      </c>
      <c r="C21" s="54"/>
      <c r="D21" s="54"/>
      <c r="E21" s="22">
        <f>COUNTA(E4:E20)</f>
        <v>0</v>
      </c>
      <c r="F21" s="22">
        <f t="shared" ref="F21:G21" si="1">SUM(F4:F20)</f>
        <v>0</v>
      </c>
      <c r="G21" s="22">
        <f t="shared" si="1"/>
        <v>0</v>
      </c>
      <c r="H21" s="25" t="str">
        <f>Psiquiatria!$G21/Psiquiatria!$F21</f>
        <v>#DIV/0!</v>
      </c>
    </row>
    <row r="22" ht="15.75" customHeight="1">
      <c r="B22" s="55"/>
      <c r="C22" s="55"/>
      <c r="D22" s="55"/>
      <c r="E22" s="55"/>
      <c r="F22" s="55"/>
      <c r="G22" s="55"/>
      <c r="H22" s="55"/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8.14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286</v>
      </c>
      <c r="D4" s="22" t="s">
        <v>67</v>
      </c>
      <c r="E4" s="53" t="s">
        <v>40</v>
      </c>
      <c r="F4" s="53">
        <v>100.0</v>
      </c>
      <c r="G4" s="53">
        <v>70.0</v>
      </c>
      <c r="H4" s="25">
        <f>Neurologia!$G4/Neurologia!$F4</f>
        <v>0.7</v>
      </c>
    </row>
    <row r="5">
      <c r="B5" s="22">
        <v>2.0</v>
      </c>
      <c r="C5" s="22" t="s">
        <v>287</v>
      </c>
      <c r="D5" s="22" t="s">
        <v>49</v>
      </c>
      <c r="E5" s="49"/>
      <c r="F5" s="49"/>
      <c r="G5" s="49"/>
      <c r="H5" s="25" t="str">
        <f>Neurologia!$G5/Neurologia!$F5</f>
        <v>#DIV/0!</v>
      </c>
      <c r="I5" s="50"/>
      <c r="J5" s="50"/>
    </row>
    <row r="6">
      <c r="B6" s="22">
        <v>3.0</v>
      </c>
      <c r="C6" s="22" t="s">
        <v>287</v>
      </c>
      <c r="D6" s="22" t="s">
        <v>50</v>
      </c>
      <c r="E6" s="22"/>
      <c r="F6" s="22"/>
      <c r="G6" s="22"/>
      <c r="H6" s="25" t="str">
        <f>Neurologia!$G6/Neurologia!$F6</f>
        <v>#DIV/0!</v>
      </c>
    </row>
    <row r="7" ht="24.0" customHeight="1">
      <c r="B7" s="22">
        <v>4.0</v>
      </c>
      <c r="C7" s="22" t="s">
        <v>287</v>
      </c>
      <c r="D7" s="22" t="s">
        <v>52</v>
      </c>
      <c r="E7" s="22"/>
      <c r="F7" s="22"/>
      <c r="G7" s="22"/>
      <c r="H7" s="25" t="str">
        <f>Neurologia!$G7/Neurologia!$F7</f>
        <v>#DIV/0!</v>
      </c>
    </row>
    <row r="8">
      <c r="B8" s="22">
        <v>5.0</v>
      </c>
      <c r="C8" s="22" t="s">
        <v>288</v>
      </c>
      <c r="D8" s="22" t="s">
        <v>49</v>
      </c>
      <c r="E8" s="53" t="s">
        <v>40</v>
      </c>
      <c r="F8" s="53">
        <v>25.0</v>
      </c>
      <c r="G8" s="53">
        <v>19.0</v>
      </c>
      <c r="H8" s="25">
        <f>Neurologia!$G8/Neurologia!$F8</f>
        <v>0.76</v>
      </c>
    </row>
    <row r="9">
      <c r="B9" s="22">
        <v>6.0</v>
      </c>
      <c r="C9" s="22" t="s">
        <v>288</v>
      </c>
      <c r="D9" s="22" t="s">
        <v>50</v>
      </c>
      <c r="E9" s="53" t="s">
        <v>40</v>
      </c>
      <c r="F9" s="53">
        <v>20.0</v>
      </c>
      <c r="G9" s="53">
        <v>15.0</v>
      </c>
      <c r="H9" s="25">
        <f>Neurologia!$G9/Neurologia!$F9</f>
        <v>0.75</v>
      </c>
    </row>
    <row r="10">
      <c r="B10" s="22">
        <v>7.0</v>
      </c>
      <c r="C10" s="22" t="s">
        <v>288</v>
      </c>
      <c r="D10" s="22" t="s">
        <v>52</v>
      </c>
      <c r="E10" s="22"/>
      <c r="F10" s="22"/>
      <c r="G10" s="22"/>
      <c r="H10" s="25" t="str">
        <f>Neurologia!$G10/Neurologia!$F10</f>
        <v>#DIV/0!</v>
      </c>
    </row>
    <row r="11">
      <c r="B11" s="22">
        <v>8.0</v>
      </c>
      <c r="C11" s="22" t="s">
        <v>289</v>
      </c>
      <c r="D11" s="22" t="s">
        <v>49</v>
      </c>
      <c r="E11" s="22"/>
      <c r="F11" s="22"/>
      <c r="G11" s="22"/>
      <c r="H11" s="25" t="str">
        <f>Neurologia!$G11/Neurologia!$F11</f>
        <v>#DIV/0!</v>
      </c>
    </row>
    <row r="12">
      <c r="B12" s="22">
        <v>9.0</v>
      </c>
      <c r="C12" s="22" t="s">
        <v>289</v>
      </c>
      <c r="D12" s="22" t="s">
        <v>50</v>
      </c>
      <c r="E12" s="22"/>
      <c r="F12" s="22"/>
      <c r="G12" s="22"/>
      <c r="H12" s="25" t="str">
        <f>Neurologia!$G12/Neurologia!$F12</f>
        <v>#DIV/0!</v>
      </c>
    </row>
    <row r="13">
      <c r="B13" s="22">
        <v>10.0</v>
      </c>
      <c r="C13" s="22" t="s">
        <v>289</v>
      </c>
      <c r="D13" s="22" t="s">
        <v>52</v>
      </c>
      <c r="E13" s="22"/>
      <c r="F13" s="22"/>
      <c r="G13" s="22"/>
      <c r="H13" s="25" t="str">
        <f>Neurologia!$G13/Neurologia!$F13</f>
        <v>#DIV/0!</v>
      </c>
    </row>
    <row r="14">
      <c r="B14" s="22">
        <v>11.0</v>
      </c>
      <c r="C14" s="22" t="s">
        <v>290</v>
      </c>
      <c r="D14" s="22" t="s">
        <v>67</v>
      </c>
      <c r="E14" s="53" t="s">
        <v>40</v>
      </c>
      <c r="F14" s="53">
        <v>100.0</v>
      </c>
      <c r="G14" s="53">
        <v>75.0</v>
      </c>
      <c r="H14" s="25">
        <f>Neurologia!$G14/Neurologia!$F14</f>
        <v>0.75</v>
      </c>
    </row>
    <row r="15">
      <c r="B15" s="22">
        <v>12.0</v>
      </c>
      <c r="C15" s="22" t="s">
        <v>290</v>
      </c>
      <c r="D15" s="22" t="s">
        <v>52</v>
      </c>
      <c r="E15" s="22"/>
      <c r="F15" s="22"/>
      <c r="G15" s="22"/>
      <c r="H15" s="25" t="str">
        <f>Neurologia!$G15/Neurologia!$F15</f>
        <v>#DIV/0!</v>
      </c>
    </row>
    <row r="16">
      <c r="B16" s="22">
        <v>13.0</v>
      </c>
      <c r="C16" s="52" t="s">
        <v>291</v>
      </c>
      <c r="D16" s="22" t="s">
        <v>49</v>
      </c>
      <c r="E16" s="49"/>
      <c r="F16" s="49"/>
      <c r="G16" s="49"/>
      <c r="H16" s="25" t="str">
        <f>Neurologia!$G16/Neurologia!$F16</f>
        <v>#DIV/0!</v>
      </c>
    </row>
    <row r="17">
      <c r="B17" s="22">
        <v>14.0</v>
      </c>
      <c r="C17" s="52" t="s">
        <v>291</v>
      </c>
      <c r="D17" s="22" t="s">
        <v>50</v>
      </c>
      <c r="E17" s="49"/>
      <c r="F17" s="49"/>
      <c r="G17" s="49"/>
      <c r="H17" s="25" t="str">
        <f>Neurologia!$G17/Neurologia!$F17</f>
        <v>#DIV/0!</v>
      </c>
    </row>
    <row r="18">
      <c r="B18" s="22">
        <v>15.0</v>
      </c>
      <c r="C18" s="52" t="s">
        <v>291</v>
      </c>
      <c r="D18" s="22" t="s">
        <v>51</v>
      </c>
      <c r="E18" s="49"/>
      <c r="F18" s="22"/>
      <c r="G18" s="22"/>
      <c r="H18" s="25" t="str">
        <f>Neurologia!$G18/Neurologia!$F18</f>
        <v>#DIV/0!</v>
      </c>
    </row>
    <row r="19">
      <c r="B19" s="22">
        <v>16.0</v>
      </c>
      <c r="C19" s="52" t="s">
        <v>291</v>
      </c>
      <c r="D19" s="22" t="s">
        <v>52</v>
      </c>
      <c r="E19" s="22"/>
      <c r="F19" s="22"/>
      <c r="G19" s="22"/>
      <c r="H19" s="25" t="str">
        <f>Neurologia!$G19/Neurologia!$F19</f>
        <v>#DIV/0!</v>
      </c>
    </row>
    <row r="20">
      <c r="B20" s="22">
        <v>17.0</v>
      </c>
      <c r="C20" s="22" t="s">
        <v>292</v>
      </c>
      <c r="D20" s="22" t="s">
        <v>67</v>
      </c>
      <c r="E20" s="53" t="s">
        <v>40</v>
      </c>
      <c r="F20" s="53">
        <v>135.0</v>
      </c>
      <c r="G20" s="53">
        <v>120.0</v>
      </c>
      <c r="H20" s="25">
        <f>Neurologia!$G20/Neurologia!$F20</f>
        <v>0.8888888889</v>
      </c>
    </row>
    <row r="21" ht="15.75" customHeight="1">
      <c r="B21" s="22">
        <v>18.0</v>
      </c>
      <c r="C21" s="22" t="s">
        <v>293</v>
      </c>
      <c r="D21" s="22" t="s">
        <v>67</v>
      </c>
      <c r="E21" s="53" t="s">
        <v>40</v>
      </c>
      <c r="F21" s="57">
        <v>148.0</v>
      </c>
      <c r="G21" s="57">
        <v>115.0</v>
      </c>
      <c r="H21" s="25">
        <f>Neurologia!$G21/Neurologia!$F21</f>
        <v>0.777027027</v>
      </c>
    </row>
    <row r="22" ht="15.75" customHeight="1">
      <c r="B22" s="22">
        <v>19.0</v>
      </c>
      <c r="C22" s="22" t="s">
        <v>294</v>
      </c>
      <c r="D22" s="22" t="s">
        <v>67</v>
      </c>
      <c r="E22" s="49"/>
      <c r="F22" s="49"/>
      <c r="G22" s="49"/>
      <c r="H22" s="25" t="str">
        <f>Neurologia!$G22/Neurologia!$F22</f>
        <v>#DIV/0!</v>
      </c>
    </row>
    <row r="23" ht="15.75" customHeight="1">
      <c r="B23" s="22">
        <v>20.0</v>
      </c>
      <c r="C23" s="52" t="s">
        <v>295</v>
      </c>
      <c r="D23" s="22" t="s">
        <v>52</v>
      </c>
      <c r="E23" s="22"/>
      <c r="F23" s="22"/>
      <c r="G23" s="22"/>
      <c r="H23" s="25" t="str">
        <f>Neurologia!$G23/Neurologia!$F23</f>
        <v>#DIV/0!</v>
      </c>
    </row>
    <row r="24" ht="15.75" customHeight="1">
      <c r="B24" s="9" t="s">
        <v>28</v>
      </c>
      <c r="C24" s="54"/>
      <c r="D24" s="54"/>
      <c r="E24" s="22">
        <f>COUNTA(E4:E23)</f>
        <v>6</v>
      </c>
      <c r="F24" s="22">
        <f t="shared" ref="F24:G24" si="1">SUM(F4:F23)</f>
        <v>528</v>
      </c>
      <c r="G24" s="22">
        <f t="shared" si="1"/>
        <v>414</v>
      </c>
      <c r="H24" s="25">
        <f>Neurologia!$G24/Neurologia!$F24</f>
        <v>0.7840909091</v>
      </c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>
      <c r="B27" s="55"/>
      <c r="C27" s="55"/>
      <c r="D27" s="55"/>
      <c r="E27" s="55"/>
      <c r="F27" s="55"/>
      <c r="G27" s="55"/>
      <c r="H27" s="55"/>
    </row>
    <row r="28" ht="15.75" customHeight="1">
      <c r="B28" s="55"/>
      <c r="C28" s="55"/>
      <c r="D28" s="55"/>
      <c r="E28" s="55"/>
      <c r="F28" s="55"/>
      <c r="G28" s="55"/>
      <c r="H28" s="5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3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3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31.71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296</v>
      </c>
      <c r="D4" s="22" t="s">
        <v>49</v>
      </c>
      <c r="E4" s="49"/>
      <c r="F4" s="49"/>
      <c r="G4" s="49"/>
      <c r="H4" s="25" t="str">
        <f>Nefrologia!$G4/Nefrologia!$F4</f>
        <v>#DIV/0!</v>
      </c>
    </row>
    <row r="5">
      <c r="B5" s="22">
        <v>2.0</v>
      </c>
      <c r="C5" s="22" t="s">
        <v>296</v>
      </c>
      <c r="D5" s="22" t="s">
        <v>50</v>
      </c>
      <c r="E5" s="22"/>
      <c r="F5" s="22"/>
      <c r="G5" s="22"/>
      <c r="H5" s="25" t="str">
        <f>Nefrologia!$G5/Nefrologia!$F5</f>
        <v>#DIV/0!</v>
      </c>
      <c r="I5" s="50"/>
      <c r="J5" s="50"/>
    </row>
    <row r="6">
      <c r="B6" s="22">
        <v>3.0</v>
      </c>
      <c r="C6" s="22" t="s">
        <v>296</v>
      </c>
      <c r="D6" s="22" t="s">
        <v>52</v>
      </c>
      <c r="E6" s="22"/>
      <c r="F6" s="22"/>
      <c r="G6" s="22"/>
      <c r="H6" s="25" t="str">
        <f>Nefrologia!$G6/Nefrologia!$F6</f>
        <v>#DIV/0!</v>
      </c>
    </row>
    <row r="7" ht="24.0" customHeight="1">
      <c r="B7" s="22">
        <v>4.0</v>
      </c>
      <c r="C7" s="22" t="s">
        <v>297</v>
      </c>
      <c r="D7" s="22" t="s">
        <v>67</v>
      </c>
      <c r="E7" s="22"/>
      <c r="F7" s="22"/>
      <c r="G7" s="22"/>
      <c r="H7" s="25" t="str">
        <f>Nefrologia!$G7/Nefrologia!$F7</f>
        <v>#DIV/0!</v>
      </c>
    </row>
    <row r="8">
      <c r="B8" s="22">
        <v>5.0</v>
      </c>
      <c r="C8" s="22" t="s">
        <v>297</v>
      </c>
      <c r="D8" s="22" t="s">
        <v>52</v>
      </c>
      <c r="E8" s="22"/>
      <c r="F8" s="22"/>
      <c r="G8" s="22"/>
      <c r="H8" s="25" t="str">
        <f>Nefrologia!$G8/Nefrologia!$F8</f>
        <v>#DIV/0!</v>
      </c>
    </row>
    <row r="9">
      <c r="B9" s="22">
        <v>6.0</v>
      </c>
      <c r="C9" s="22" t="s">
        <v>298</v>
      </c>
      <c r="D9" s="22" t="s">
        <v>49</v>
      </c>
      <c r="E9" s="49"/>
      <c r="F9" s="22"/>
      <c r="G9" s="22"/>
      <c r="H9" s="25" t="str">
        <f>Nefrologia!$G9/Nefrologia!$F9</f>
        <v>#DIV/0!</v>
      </c>
    </row>
    <row r="10">
      <c r="B10" s="22">
        <v>7.0</v>
      </c>
      <c r="C10" s="22" t="s">
        <v>298</v>
      </c>
      <c r="D10" s="22" t="s">
        <v>50</v>
      </c>
      <c r="E10" s="49"/>
      <c r="F10" s="22"/>
      <c r="G10" s="22"/>
      <c r="H10" s="25" t="str">
        <f>Nefrologia!$G10/Nefrologia!$F10</f>
        <v>#DIV/0!</v>
      </c>
    </row>
    <row r="11">
      <c r="B11" s="22">
        <v>8.0</v>
      </c>
      <c r="C11" s="22" t="s">
        <v>298</v>
      </c>
      <c r="D11" s="22" t="s">
        <v>51</v>
      </c>
      <c r="E11" s="49"/>
      <c r="F11" s="22"/>
      <c r="G11" s="22"/>
      <c r="H11" s="25" t="str">
        <f>Nefrologia!$G11/Nefrologia!$F11</f>
        <v>#DIV/0!</v>
      </c>
    </row>
    <row r="12">
      <c r="B12" s="22">
        <v>9.0</v>
      </c>
      <c r="C12" s="22" t="s">
        <v>298</v>
      </c>
      <c r="D12" s="22" t="s">
        <v>52</v>
      </c>
      <c r="E12" s="22"/>
      <c r="F12" s="22"/>
      <c r="G12" s="22"/>
      <c r="H12" s="25" t="str">
        <f>Nefrologia!$G12/Nefrologia!$F12</f>
        <v>#DIV/0!</v>
      </c>
    </row>
    <row r="13">
      <c r="B13" s="22">
        <v>10.0</v>
      </c>
      <c r="C13" s="22" t="s">
        <v>299</v>
      </c>
      <c r="D13" s="22" t="s">
        <v>67</v>
      </c>
      <c r="E13" s="22"/>
      <c r="F13" s="22"/>
      <c r="G13" s="22"/>
      <c r="H13" s="25" t="str">
        <f>Nefrologia!$G13/Nefrologia!$F13</f>
        <v>#DIV/0!</v>
      </c>
    </row>
    <row r="14">
      <c r="B14" s="22">
        <v>11.0</v>
      </c>
      <c r="C14" s="22" t="s">
        <v>299</v>
      </c>
      <c r="D14" s="22" t="s">
        <v>52</v>
      </c>
      <c r="E14" s="22"/>
      <c r="F14" s="22"/>
      <c r="G14" s="22"/>
      <c r="H14" s="25" t="str">
        <f>Nefrologia!$G14/Nefrologia!$F14</f>
        <v>#DIV/0!</v>
      </c>
    </row>
    <row r="15">
      <c r="B15" s="22">
        <v>12.0</v>
      </c>
      <c r="C15" s="52" t="s">
        <v>300</v>
      </c>
      <c r="D15" s="22" t="s">
        <v>57</v>
      </c>
      <c r="E15" s="22"/>
      <c r="F15" s="22"/>
      <c r="G15" s="22"/>
      <c r="H15" s="25" t="str">
        <f>Nefrologia!$G15/Nefrologia!$F15</f>
        <v>#DIV/0!</v>
      </c>
    </row>
    <row r="16">
      <c r="B16" s="22">
        <v>13.0</v>
      </c>
      <c r="C16" s="22" t="s">
        <v>301</v>
      </c>
      <c r="D16" s="22" t="s">
        <v>49</v>
      </c>
      <c r="E16" s="49"/>
      <c r="F16" s="49"/>
      <c r="G16" s="49"/>
      <c r="H16" s="25" t="str">
        <f>Nefrologia!$G16/Nefrologia!$F16</f>
        <v>#DIV/0!</v>
      </c>
    </row>
    <row r="17">
      <c r="B17" s="22">
        <v>14.0</v>
      </c>
      <c r="C17" s="22" t="s">
        <v>301</v>
      </c>
      <c r="D17" s="22" t="s">
        <v>50</v>
      </c>
      <c r="E17" s="49"/>
      <c r="F17" s="22"/>
      <c r="G17" s="22"/>
      <c r="H17" s="25" t="str">
        <f>Nefrologia!$G17/Nefrologia!$F17</f>
        <v>#DIV/0!</v>
      </c>
    </row>
    <row r="18">
      <c r="B18" s="22">
        <v>15.0</v>
      </c>
      <c r="C18" s="22" t="s">
        <v>301</v>
      </c>
      <c r="D18" s="22" t="s">
        <v>52</v>
      </c>
      <c r="E18" s="22"/>
      <c r="F18" s="22"/>
      <c r="G18" s="22"/>
      <c r="H18" s="25" t="str">
        <f>Nefrologia!$G18/Nefrologia!$F18</f>
        <v>#DIV/0!</v>
      </c>
    </row>
    <row r="19">
      <c r="B19" s="22">
        <v>16.0</v>
      </c>
      <c r="C19" s="22" t="s">
        <v>302</v>
      </c>
      <c r="D19" s="22" t="s">
        <v>49</v>
      </c>
      <c r="E19" s="49"/>
      <c r="F19" s="49"/>
      <c r="G19" s="49"/>
      <c r="H19" s="25" t="str">
        <f>Nefrologia!$G19/Nefrologia!$F19</f>
        <v>#DIV/0!</v>
      </c>
    </row>
    <row r="20">
      <c r="B20" s="22">
        <v>17.0</v>
      </c>
      <c r="C20" s="22" t="s">
        <v>302</v>
      </c>
      <c r="D20" s="22" t="s">
        <v>50</v>
      </c>
      <c r="E20" s="49"/>
      <c r="F20" s="49"/>
      <c r="G20" s="49"/>
      <c r="H20" s="25" t="str">
        <f>Nefrologia!$G20/Nefrologia!$F20</f>
        <v>#DIV/0!</v>
      </c>
    </row>
    <row r="21" ht="15.75" customHeight="1">
      <c r="B21" s="22">
        <v>18.0</v>
      </c>
      <c r="C21" s="22" t="s">
        <v>302</v>
      </c>
      <c r="D21" s="22" t="s">
        <v>52</v>
      </c>
      <c r="E21" s="22"/>
      <c r="F21" s="22"/>
      <c r="G21" s="22"/>
      <c r="H21" s="25" t="str">
        <f>Nefrologia!$G21/Nefrologia!$F21</f>
        <v>#DIV/0!</v>
      </c>
    </row>
    <row r="22" ht="15.75" customHeight="1">
      <c r="B22" s="22">
        <v>19.0</v>
      </c>
      <c r="C22" s="22" t="s">
        <v>303</v>
      </c>
      <c r="D22" s="22" t="s">
        <v>49</v>
      </c>
      <c r="E22" s="22"/>
      <c r="F22" s="22"/>
      <c r="G22" s="22"/>
      <c r="H22" s="25" t="str">
        <f>Nefrologia!$G22/Nefrologia!$F22</f>
        <v>#DIV/0!</v>
      </c>
    </row>
    <row r="23" ht="15.75" customHeight="1">
      <c r="B23" s="22">
        <v>20.0</v>
      </c>
      <c r="C23" s="22" t="s">
        <v>303</v>
      </c>
      <c r="D23" s="22" t="s">
        <v>50</v>
      </c>
      <c r="E23" s="22"/>
      <c r="F23" s="22"/>
      <c r="G23" s="22"/>
      <c r="H23" s="25" t="str">
        <f>Nefrologia!$G23/Nefrologia!$F23</f>
        <v>#DIV/0!</v>
      </c>
    </row>
    <row r="24" ht="15.75" customHeight="1">
      <c r="B24" s="22">
        <v>21.0</v>
      </c>
      <c r="C24" s="22" t="s">
        <v>303</v>
      </c>
      <c r="D24" s="22" t="s">
        <v>52</v>
      </c>
      <c r="E24" s="22"/>
      <c r="F24" s="22"/>
      <c r="G24" s="22"/>
      <c r="H24" s="25" t="str">
        <f>Nefrologia!$G24/Nefrologia!$F24</f>
        <v>#DIV/0!</v>
      </c>
    </row>
    <row r="25" ht="15.75" customHeight="1">
      <c r="B25" s="22">
        <v>22.0</v>
      </c>
      <c r="C25" s="52" t="s">
        <v>304</v>
      </c>
      <c r="D25" s="22" t="s">
        <v>57</v>
      </c>
      <c r="E25" s="22"/>
      <c r="F25" s="22"/>
      <c r="G25" s="22"/>
      <c r="H25" s="25" t="str">
        <f>Nefrologia!$G25/Nefrologia!$F25</f>
        <v>#DIV/0!</v>
      </c>
    </row>
    <row r="26" ht="15.75" customHeight="1">
      <c r="B26" s="22">
        <v>23.0</v>
      </c>
      <c r="C26" s="52" t="s">
        <v>305</v>
      </c>
      <c r="D26" s="22" t="s">
        <v>67</v>
      </c>
      <c r="E26" s="53" t="s">
        <v>40</v>
      </c>
      <c r="F26" s="53">
        <v>40.0</v>
      </c>
      <c r="G26" s="53">
        <v>32.0</v>
      </c>
      <c r="H26" s="25">
        <f>Nefrologia!$G26/Nefrologia!$F26</f>
        <v>0.8</v>
      </c>
    </row>
    <row r="27" ht="15.75" customHeight="1">
      <c r="B27" s="9" t="s">
        <v>28</v>
      </c>
      <c r="C27" s="54"/>
      <c r="D27" s="54"/>
      <c r="E27" s="22">
        <f>COUNTA(E4:E26)</f>
        <v>1</v>
      </c>
      <c r="F27" s="22">
        <f t="shared" ref="F27:G27" si="1">SUM(F4:F26)</f>
        <v>40</v>
      </c>
      <c r="G27" s="22">
        <f t="shared" si="1"/>
        <v>32</v>
      </c>
      <c r="H27" s="25">
        <f>Nefrologia!$G27/Nefrologia!$F27</f>
        <v>0.8</v>
      </c>
    </row>
    <row r="28" ht="15.75" customHeight="1">
      <c r="B28" s="55"/>
      <c r="C28" s="55"/>
      <c r="D28" s="55"/>
      <c r="E28" s="55"/>
      <c r="F28" s="55"/>
      <c r="G28" s="55"/>
      <c r="H28" s="55"/>
    </row>
    <row r="29" ht="15.75" customHeight="1">
      <c r="B29" s="55"/>
      <c r="C29" s="55"/>
      <c r="D29" s="55"/>
      <c r="E29" s="55"/>
      <c r="F29" s="55"/>
      <c r="G29" s="55"/>
      <c r="H29" s="55"/>
    </row>
    <row r="30" ht="15.75" customHeight="1">
      <c r="B30" s="55"/>
      <c r="C30" s="55"/>
      <c r="D30" s="55"/>
      <c r="E30" s="55"/>
      <c r="F30" s="55"/>
      <c r="G30" s="55"/>
      <c r="H30" s="55"/>
    </row>
    <row r="31" ht="15.75" customHeight="1">
      <c r="B31" s="55"/>
      <c r="C31" s="55"/>
      <c r="D31" s="55"/>
      <c r="E31" s="55"/>
      <c r="F31" s="55"/>
      <c r="G31" s="55"/>
      <c r="H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4">
    <cfRule type="containsText" dxfId="10" priority="1" operator="containsText" text="Sim">
      <formula>NOT(ISERROR(SEARCH(("Sim"),(E4))))</formula>
    </cfRule>
  </conditionalFormatting>
  <conditionalFormatting sqref="E25:E26">
    <cfRule type="containsText" dxfId="10" priority="2" operator="containsText" text="Sim">
      <formula>NOT(ISERROR(SEARCH(("Sim"),(E25))))</formula>
    </cfRule>
  </conditionalFormatting>
  <dataValidations>
    <dataValidation type="list" allowBlank="1" showInputMessage="1" showErrorMessage="1" prompt="Tarefa Realizada? - Click em &quot;Sim&quot; ao realizar toda a Tarefa correspondente!" sqref="E4:E26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54.43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306</v>
      </c>
      <c r="D4" s="22" t="s">
        <v>67</v>
      </c>
      <c r="E4" s="49"/>
      <c r="F4" s="49"/>
      <c r="G4" s="49"/>
      <c r="H4" s="25" t="str">
        <f>Hematologia!$G4/Hematologia!$F4</f>
        <v>#DIV/0!</v>
      </c>
    </row>
    <row r="5">
      <c r="B5" s="22">
        <v>2.0</v>
      </c>
      <c r="C5" s="22" t="s">
        <v>307</v>
      </c>
      <c r="D5" s="22" t="s">
        <v>49</v>
      </c>
      <c r="E5" s="22"/>
      <c r="F5" s="22"/>
      <c r="G5" s="22"/>
      <c r="H5" s="25" t="str">
        <f>Hematologia!$G5/Hematologia!$F5</f>
        <v>#DIV/0!</v>
      </c>
      <c r="I5" s="50"/>
      <c r="J5" s="50"/>
    </row>
    <row r="6">
      <c r="B6" s="22">
        <v>3.0</v>
      </c>
      <c r="C6" s="22" t="s">
        <v>307</v>
      </c>
      <c r="D6" s="22" t="s">
        <v>50</v>
      </c>
      <c r="E6" s="22"/>
      <c r="F6" s="22"/>
      <c r="G6" s="22"/>
      <c r="H6" s="25" t="str">
        <f>Hematologia!$G6/Hematologia!$F6</f>
        <v>#DIV/0!</v>
      </c>
    </row>
    <row r="7" ht="24.0" customHeight="1">
      <c r="B7" s="22">
        <v>4.0</v>
      </c>
      <c r="C7" s="22" t="s">
        <v>307</v>
      </c>
      <c r="D7" s="22" t="s">
        <v>51</v>
      </c>
      <c r="E7" s="22"/>
      <c r="F7" s="22"/>
      <c r="G7" s="22"/>
      <c r="H7" s="25" t="str">
        <f>Hematologia!$G7/Hematologia!$F7</f>
        <v>#DIV/0!</v>
      </c>
    </row>
    <row r="8">
      <c r="B8" s="22">
        <v>5.0</v>
      </c>
      <c r="C8" s="22" t="s">
        <v>307</v>
      </c>
      <c r="D8" s="22" t="s">
        <v>52</v>
      </c>
      <c r="E8" s="22"/>
      <c r="F8" s="22"/>
      <c r="G8" s="22"/>
      <c r="H8" s="25" t="str">
        <f>Hematologia!$G8/Hematologia!$F8</f>
        <v>#DIV/0!</v>
      </c>
    </row>
    <row r="9">
      <c r="B9" s="22">
        <v>6.0</v>
      </c>
      <c r="C9" s="22" t="s">
        <v>308</v>
      </c>
      <c r="D9" s="22" t="s">
        <v>49</v>
      </c>
      <c r="E9" s="22"/>
      <c r="F9" s="22"/>
      <c r="G9" s="22"/>
      <c r="H9" s="25" t="str">
        <f>Hematologia!$G9/Hematologia!$F9</f>
        <v>#DIV/0!</v>
      </c>
    </row>
    <row r="10">
      <c r="B10" s="22">
        <v>7.0</v>
      </c>
      <c r="C10" s="22" t="s">
        <v>308</v>
      </c>
      <c r="D10" s="22" t="s">
        <v>50</v>
      </c>
      <c r="E10" s="22"/>
      <c r="F10" s="22"/>
      <c r="G10" s="22"/>
      <c r="H10" s="25" t="str">
        <f>Hematologia!$G10/Hematologia!$F10</f>
        <v>#DIV/0!</v>
      </c>
    </row>
    <row r="11">
      <c r="B11" s="22">
        <v>8.0</v>
      </c>
      <c r="C11" s="22" t="s">
        <v>308</v>
      </c>
      <c r="D11" s="22" t="s">
        <v>52</v>
      </c>
      <c r="E11" s="22"/>
      <c r="F11" s="22"/>
      <c r="G11" s="22"/>
      <c r="H11" s="25" t="str">
        <f>Hematologia!$G11/Hematologia!$F11</f>
        <v>#DIV/0!</v>
      </c>
    </row>
    <row r="12">
      <c r="B12" s="22">
        <v>9.0</v>
      </c>
      <c r="C12" s="22" t="s">
        <v>309</v>
      </c>
      <c r="D12" s="22" t="s">
        <v>49</v>
      </c>
      <c r="E12" s="53" t="s">
        <v>40</v>
      </c>
      <c r="F12" s="53">
        <v>20.0</v>
      </c>
      <c r="G12" s="53">
        <v>18.0</v>
      </c>
      <c r="H12" s="25">
        <f>Hematologia!$G12/Hematologia!$F12</f>
        <v>0.9</v>
      </c>
    </row>
    <row r="13">
      <c r="B13" s="22">
        <v>10.0</v>
      </c>
      <c r="C13" s="22" t="s">
        <v>309</v>
      </c>
      <c r="D13" s="22" t="s">
        <v>50</v>
      </c>
      <c r="E13" s="22"/>
      <c r="F13" s="22"/>
      <c r="G13" s="22"/>
      <c r="H13" s="25" t="str">
        <f>Hematologia!$G13/Hematologia!$F13</f>
        <v>#DIV/0!</v>
      </c>
    </row>
    <row r="14">
      <c r="B14" s="22">
        <v>11.0</v>
      </c>
      <c r="C14" s="22" t="s">
        <v>309</v>
      </c>
      <c r="D14" s="22" t="s">
        <v>52</v>
      </c>
      <c r="E14" s="22"/>
      <c r="F14" s="22"/>
      <c r="G14" s="22"/>
      <c r="H14" s="25" t="str">
        <f>Hematologia!$G14/Hematologia!$F14</f>
        <v>#DIV/0!</v>
      </c>
    </row>
    <row r="15">
      <c r="B15" s="22">
        <v>12.0</v>
      </c>
      <c r="C15" s="22" t="s">
        <v>310</v>
      </c>
      <c r="D15" s="22" t="s">
        <v>49</v>
      </c>
      <c r="E15" s="22"/>
      <c r="F15" s="22"/>
      <c r="G15" s="22"/>
      <c r="H15" s="25" t="str">
        <f>Hematologia!$G15/Hematologia!$F15</f>
        <v>#DIV/0!</v>
      </c>
    </row>
    <row r="16">
      <c r="B16" s="22">
        <v>13.0</v>
      </c>
      <c r="C16" s="22" t="s">
        <v>310</v>
      </c>
      <c r="D16" s="22" t="s">
        <v>50</v>
      </c>
      <c r="E16" s="22"/>
      <c r="F16" s="22"/>
      <c r="G16" s="22"/>
      <c r="H16" s="25" t="str">
        <f>Hematologia!$G16/Hematologia!$F16</f>
        <v>#DIV/0!</v>
      </c>
    </row>
    <row r="17">
      <c r="B17" s="22">
        <v>14.0</v>
      </c>
      <c r="C17" s="22" t="s">
        <v>310</v>
      </c>
      <c r="D17" s="22" t="s">
        <v>52</v>
      </c>
      <c r="E17" s="22"/>
      <c r="F17" s="22"/>
      <c r="G17" s="22"/>
      <c r="H17" s="25" t="str">
        <f>Hematologia!$G17/Hematologia!$F17</f>
        <v>#DIV/0!</v>
      </c>
    </row>
    <row r="18">
      <c r="B18" s="22">
        <v>15.0</v>
      </c>
      <c r="C18" s="52" t="s">
        <v>311</v>
      </c>
      <c r="D18" s="22" t="s">
        <v>49</v>
      </c>
      <c r="E18" s="22"/>
      <c r="F18" s="22"/>
      <c r="G18" s="22"/>
      <c r="H18" s="25" t="str">
        <f>Hematologia!$G18/Hematologia!$F18</f>
        <v>#DIV/0!</v>
      </c>
    </row>
    <row r="19">
      <c r="B19" s="22">
        <v>16.0</v>
      </c>
      <c r="C19" s="52" t="s">
        <v>311</v>
      </c>
      <c r="D19" s="22" t="s">
        <v>50</v>
      </c>
      <c r="E19" s="22"/>
      <c r="F19" s="22"/>
      <c r="G19" s="22"/>
      <c r="H19" s="25" t="str">
        <f>Hematologia!$G19/Hematologia!$F19</f>
        <v>#DIV/0!</v>
      </c>
    </row>
    <row r="20">
      <c r="B20" s="22">
        <v>17.0</v>
      </c>
      <c r="C20" s="52" t="s">
        <v>311</v>
      </c>
      <c r="D20" s="22" t="s">
        <v>52</v>
      </c>
      <c r="E20" s="22"/>
      <c r="F20" s="22"/>
      <c r="G20" s="22"/>
      <c r="H20" s="25" t="str">
        <f>Hematologia!$G20/Hematologia!$F20</f>
        <v>#DIV/0!</v>
      </c>
    </row>
    <row r="21" ht="15.75" customHeight="1">
      <c r="B21" s="22">
        <v>18.0</v>
      </c>
      <c r="C21" s="58" t="s">
        <v>312</v>
      </c>
      <c r="D21" s="22" t="s">
        <v>67</v>
      </c>
      <c r="E21" s="22"/>
      <c r="F21" s="22"/>
      <c r="G21" s="22"/>
      <c r="H21" s="25" t="str">
        <f>Hematologia!$G21/Hematologia!$F21</f>
        <v>#DIV/0!</v>
      </c>
    </row>
    <row r="22" ht="15.75" customHeight="1">
      <c r="B22" s="9" t="s">
        <v>28</v>
      </c>
      <c r="C22" s="54"/>
      <c r="D22" s="54"/>
      <c r="E22" s="22">
        <f>COUNTA(E4:E21)</f>
        <v>1</v>
      </c>
      <c r="F22" s="22">
        <f t="shared" ref="F22:G22" si="1">SUM(F4:F21)</f>
        <v>20</v>
      </c>
      <c r="G22" s="22">
        <f t="shared" si="1"/>
        <v>18</v>
      </c>
      <c r="H22" s="25">
        <f>Hematologia!$G22/Hematologia!$F22</f>
        <v>0.9</v>
      </c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1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1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8.86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313</v>
      </c>
      <c r="D4" s="22" t="s">
        <v>67</v>
      </c>
      <c r="E4" s="22"/>
      <c r="F4" s="22"/>
      <c r="G4" s="22"/>
      <c r="H4" s="25" t="str">
        <f>Pneumo!$G4/Pneumo!$F4</f>
        <v>#DIV/0!</v>
      </c>
    </row>
    <row r="5">
      <c r="B5" s="22">
        <v>2.0</v>
      </c>
      <c r="C5" s="22" t="s">
        <v>314</v>
      </c>
      <c r="D5" s="22" t="s">
        <v>49</v>
      </c>
      <c r="E5" s="22"/>
      <c r="F5" s="22"/>
      <c r="G5" s="22"/>
      <c r="H5" s="25" t="str">
        <f>Pneumo!$G5/Pneumo!$F5</f>
        <v>#DIV/0!</v>
      </c>
      <c r="I5" s="50"/>
      <c r="J5" s="50"/>
    </row>
    <row r="6">
      <c r="B6" s="22">
        <v>3.0</v>
      </c>
      <c r="C6" s="22" t="s">
        <v>314</v>
      </c>
      <c r="D6" s="22" t="s">
        <v>50</v>
      </c>
      <c r="E6" s="22"/>
      <c r="F6" s="22"/>
      <c r="G6" s="22"/>
      <c r="H6" s="25" t="str">
        <f>Pneumo!$G6/Pneumo!$F6</f>
        <v>#DIV/0!</v>
      </c>
    </row>
    <row r="7" ht="24.0" customHeight="1">
      <c r="B7" s="22">
        <v>4.0</v>
      </c>
      <c r="C7" s="22" t="s">
        <v>314</v>
      </c>
      <c r="D7" s="22" t="s">
        <v>101</v>
      </c>
      <c r="E7" s="22"/>
      <c r="F7" s="22"/>
      <c r="G7" s="22"/>
      <c r="H7" s="25" t="str">
        <f>Pneumo!$G7/Pneumo!$F7</f>
        <v>#DIV/0!</v>
      </c>
    </row>
    <row r="8">
      <c r="B8" s="22">
        <v>5.0</v>
      </c>
      <c r="C8" s="22" t="s">
        <v>314</v>
      </c>
      <c r="D8" s="22" t="s">
        <v>51</v>
      </c>
      <c r="E8" s="22"/>
      <c r="F8" s="22"/>
      <c r="G8" s="22"/>
      <c r="H8" s="25" t="str">
        <f>Pneumo!$G8/Pneumo!$F8</f>
        <v>#DIV/0!</v>
      </c>
    </row>
    <row r="9">
      <c r="B9" s="22">
        <v>6.0</v>
      </c>
      <c r="C9" s="22" t="s">
        <v>314</v>
      </c>
      <c r="D9" s="22" t="s">
        <v>102</v>
      </c>
      <c r="E9" s="22"/>
      <c r="F9" s="22"/>
      <c r="G9" s="22"/>
      <c r="H9" s="25" t="str">
        <f>Pneumo!$G9/Pneumo!$F9</f>
        <v>#DIV/0!</v>
      </c>
    </row>
    <row r="10">
      <c r="B10" s="22">
        <v>7.0</v>
      </c>
      <c r="C10" s="22" t="s">
        <v>314</v>
      </c>
      <c r="D10" s="22" t="s">
        <v>119</v>
      </c>
      <c r="E10" s="22"/>
      <c r="F10" s="22"/>
      <c r="G10" s="22"/>
      <c r="H10" s="25" t="str">
        <f>Pneumo!$G10/Pneumo!$F10</f>
        <v>#DIV/0!</v>
      </c>
    </row>
    <row r="11">
      <c r="B11" s="22">
        <v>8.0</v>
      </c>
      <c r="C11" s="22" t="s">
        <v>314</v>
      </c>
      <c r="D11" s="22" t="s">
        <v>103</v>
      </c>
      <c r="E11" s="22"/>
      <c r="F11" s="22"/>
      <c r="G11" s="22"/>
      <c r="H11" s="25" t="str">
        <f>Pneumo!$G11/Pneumo!$F11</f>
        <v>#DIV/0!</v>
      </c>
    </row>
    <row r="12">
      <c r="B12" s="22">
        <v>9.0</v>
      </c>
      <c r="C12" s="22" t="s">
        <v>315</v>
      </c>
      <c r="D12" s="22" t="s">
        <v>67</v>
      </c>
      <c r="E12" s="22"/>
      <c r="F12" s="22"/>
      <c r="G12" s="22"/>
      <c r="H12" s="25" t="str">
        <f>Pneumo!$G12/Pneumo!$F12</f>
        <v>#DIV/0!</v>
      </c>
    </row>
    <row r="13">
      <c r="B13" s="22">
        <v>10.0</v>
      </c>
      <c r="C13" s="22" t="s">
        <v>316</v>
      </c>
      <c r="D13" s="22" t="s">
        <v>67</v>
      </c>
      <c r="E13" s="49"/>
      <c r="F13" s="22"/>
      <c r="G13" s="22"/>
      <c r="H13" s="25" t="str">
        <f>Pneumo!$G13/Pneumo!$F13</f>
        <v>#DIV/0!</v>
      </c>
    </row>
    <row r="14">
      <c r="B14" s="22">
        <v>11.0</v>
      </c>
      <c r="C14" s="22" t="s">
        <v>317</v>
      </c>
      <c r="D14" s="22" t="s">
        <v>49</v>
      </c>
      <c r="E14" s="49"/>
      <c r="F14" s="22"/>
      <c r="G14" s="22"/>
      <c r="H14" s="25" t="str">
        <f>Pneumo!$G14/Pneumo!$F14</f>
        <v>#DIV/0!</v>
      </c>
    </row>
    <row r="15">
      <c r="B15" s="22">
        <v>12.0</v>
      </c>
      <c r="C15" s="22" t="s">
        <v>317</v>
      </c>
      <c r="D15" s="22" t="s">
        <v>50</v>
      </c>
      <c r="E15" s="49"/>
      <c r="F15" s="49"/>
      <c r="G15" s="49"/>
      <c r="H15" s="25" t="str">
        <f>Pneumo!$G15/Pneumo!$F15</f>
        <v>#DIV/0!</v>
      </c>
    </row>
    <row r="16">
      <c r="B16" s="22">
        <v>13.0</v>
      </c>
      <c r="C16" s="22" t="s">
        <v>317</v>
      </c>
      <c r="D16" s="22" t="s">
        <v>51</v>
      </c>
      <c r="E16" s="22"/>
      <c r="F16" s="22"/>
      <c r="G16" s="22"/>
      <c r="H16" s="25" t="str">
        <f>Pneumo!$G16/Pneumo!$F16</f>
        <v>#DIV/0!</v>
      </c>
    </row>
    <row r="17">
      <c r="B17" s="22">
        <v>14.0</v>
      </c>
      <c r="C17" s="22" t="s">
        <v>317</v>
      </c>
      <c r="D17" s="22" t="s">
        <v>52</v>
      </c>
      <c r="E17" s="22"/>
      <c r="F17" s="22"/>
      <c r="G17" s="22"/>
      <c r="H17" s="25" t="str">
        <f>Pneumo!$G17/Pneumo!$F17</f>
        <v>#DIV/0!</v>
      </c>
    </row>
    <row r="18">
      <c r="B18" s="22">
        <v>15.0</v>
      </c>
      <c r="C18" s="22" t="s">
        <v>60</v>
      </c>
      <c r="D18" s="22" t="s">
        <v>49</v>
      </c>
      <c r="E18" s="53" t="s">
        <v>40</v>
      </c>
      <c r="F18" s="53">
        <v>17.0</v>
      </c>
      <c r="G18" s="53">
        <v>12.0</v>
      </c>
      <c r="H18" s="25">
        <f>Pneumo!$G18/Pneumo!$F18</f>
        <v>0.7058823529</v>
      </c>
    </row>
    <row r="19">
      <c r="B19" s="22">
        <v>16.0</v>
      </c>
      <c r="C19" s="22" t="s">
        <v>60</v>
      </c>
      <c r="D19" s="22" t="s">
        <v>50</v>
      </c>
      <c r="E19" s="53" t="s">
        <v>40</v>
      </c>
      <c r="F19" s="53">
        <v>27.0</v>
      </c>
      <c r="G19" s="53">
        <v>21.0</v>
      </c>
      <c r="H19" s="25">
        <f>Pneumo!$G19/Pneumo!$F19</f>
        <v>0.7777777778</v>
      </c>
    </row>
    <row r="20">
      <c r="B20" s="22">
        <v>17.0</v>
      </c>
      <c r="C20" s="22" t="s">
        <v>60</v>
      </c>
      <c r="D20" s="22" t="s">
        <v>52</v>
      </c>
      <c r="E20" s="22"/>
      <c r="F20" s="22"/>
      <c r="G20" s="22"/>
      <c r="H20" s="25" t="str">
        <f>Pneumo!$G20/Pneumo!$F20</f>
        <v>#DIV/0!</v>
      </c>
    </row>
    <row r="21" ht="15.75" customHeight="1">
      <c r="B21" s="22">
        <v>18.0</v>
      </c>
      <c r="C21" s="22" t="s">
        <v>318</v>
      </c>
      <c r="D21" s="22" t="s">
        <v>49</v>
      </c>
      <c r="E21" s="22"/>
      <c r="F21" s="22"/>
      <c r="G21" s="22"/>
      <c r="H21" s="25" t="str">
        <f>Pneumo!$G21/Pneumo!$F21</f>
        <v>#DIV/0!</v>
      </c>
    </row>
    <row r="22" ht="15.75" customHeight="1">
      <c r="B22" s="22">
        <v>19.0</v>
      </c>
      <c r="C22" s="22" t="s">
        <v>318</v>
      </c>
      <c r="D22" s="22" t="s">
        <v>50</v>
      </c>
      <c r="E22" s="22"/>
      <c r="F22" s="22"/>
      <c r="G22" s="22"/>
      <c r="H22" s="25" t="str">
        <f>Pneumo!$G22/Pneumo!$F22</f>
        <v>#DIV/0!</v>
      </c>
    </row>
    <row r="23" ht="15.75" customHeight="1">
      <c r="B23" s="22">
        <v>20.0</v>
      </c>
      <c r="C23" s="22" t="s">
        <v>318</v>
      </c>
      <c r="D23" s="22" t="s">
        <v>52</v>
      </c>
      <c r="E23" s="22"/>
      <c r="F23" s="22"/>
      <c r="G23" s="22"/>
      <c r="H23" s="25" t="str">
        <f>Pneumo!$G23/Pneumo!$F23</f>
        <v>#DIV/0!</v>
      </c>
    </row>
    <row r="24" ht="15.75" customHeight="1">
      <c r="B24" s="9" t="s">
        <v>28</v>
      </c>
      <c r="C24" s="54"/>
      <c r="D24" s="54"/>
      <c r="E24" s="22">
        <f>COUNTA(E4:E23)</f>
        <v>2</v>
      </c>
      <c r="F24" s="22">
        <f t="shared" ref="F24:G24" si="1">SUM(F4:F23)</f>
        <v>44</v>
      </c>
      <c r="G24" s="22">
        <f t="shared" si="1"/>
        <v>33</v>
      </c>
      <c r="H24" s="25">
        <f>Pneumo!$G24/Pneumo!$F24</f>
        <v>0.75</v>
      </c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>
      <c r="B27" s="55"/>
      <c r="C27" s="55"/>
      <c r="D27" s="55"/>
      <c r="E27" s="55"/>
      <c r="F27" s="55"/>
      <c r="G27" s="55"/>
      <c r="H27" s="55"/>
    </row>
    <row r="28" ht="15.75" customHeight="1">
      <c r="B28" s="55"/>
      <c r="C28" s="55"/>
      <c r="D28" s="55"/>
      <c r="E28" s="55"/>
      <c r="F28" s="55"/>
      <c r="G28" s="55"/>
      <c r="H28" s="5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3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3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38.86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319</v>
      </c>
      <c r="D4" s="22" t="s">
        <v>49</v>
      </c>
      <c r="E4" s="22"/>
      <c r="F4" s="22"/>
      <c r="G4" s="22"/>
      <c r="H4" s="25" t="str">
        <f>Dermato!$G4/Dermato!$F4</f>
        <v>#DIV/0!</v>
      </c>
    </row>
    <row r="5">
      <c r="B5" s="22">
        <v>2.0</v>
      </c>
      <c r="C5" s="22" t="s">
        <v>319</v>
      </c>
      <c r="D5" s="22" t="s">
        <v>50</v>
      </c>
      <c r="E5" s="22"/>
      <c r="F5" s="22"/>
      <c r="G5" s="22"/>
      <c r="H5" s="25" t="str">
        <f>Dermato!$G5/Dermato!$F5</f>
        <v>#DIV/0!</v>
      </c>
      <c r="I5" s="50"/>
      <c r="J5" s="50"/>
    </row>
    <row r="6">
      <c r="B6" s="22">
        <v>3.0</v>
      </c>
      <c r="C6" s="22" t="s">
        <v>319</v>
      </c>
      <c r="D6" s="22" t="s">
        <v>52</v>
      </c>
      <c r="E6" s="22"/>
      <c r="F6" s="22"/>
      <c r="G6" s="22"/>
      <c r="H6" s="25" t="str">
        <f>Dermato!$G6/Dermato!$F6</f>
        <v>#DIV/0!</v>
      </c>
    </row>
    <row r="7" ht="24.0" customHeight="1">
      <c r="B7" s="22">
        <v>4.0</v>
      </c>
      <c r="C7" s="22" t="s">
        <v>320</v>
      </c>
      <c r="D7" s="22" t="s">
        <v>49</v>
      </c>
      <c r="E7" s="49"/>
      <c r="F7" s="49"/>
      <c r="G7" s="49"/>
      <c r="H7" s="25" t="str">
        <f>Dermato!$G7/Dermato!$F7</f>
        <v>#DIV/0!</v>
      </c>
    </row>
    <row r="8">
      <c r="B8" s="22">
        <v>5.0</v>
      </c>
      <c r="C8" s="22" t="s">
        <v>320</v>
      </c>
      <c r="D8" s="22" t="s">
        <v>50</v>
      </c>
      <c r="E8" s="49"/>
      <c r="F8" s="49"/>
      <c r="G8" s="49"/>
      <c r="H8" s="25" t="str">
        <f>Dermato!$G8/Dermato!$F8</f>
        <v>#DIV/0!</v>
      </c>
    </row>
    <row r="9">
      <c r="B9" s="22">
        <v>6.0</v>
      </c>
      <c r="C9" s="22" t="s">
        <v>320</v>
      </c>
      <c r="D9" s="22" t="s">
        <v>52</v>
      </c>
      <c r="E9" s="22"/>
      <c r="F9" s="22"/>
      <c r="G9" s="22"/>
      <c r="H9" s="25" t="str">
        <f>Dermato!$G9/Dermato!$F9</f>
        <v>#DIV/0!</v>
      </c>
    </row>
    <row r="10">
      <c r="B10" s="22">
        <v>7.0</v>
      </c>
      <c r="C10" s="52" t="s">
        <v>321</v>
      </c>
      <c r="D10" s="22" t="s">
        <v>67</v>
      </c>
      <c r="E10" s="22"/>
      <c r="F10" s="22"/>
      <c r="G10" s="22"/>
      <c r="H10" s="25" t="str">
        <f>Dermato!$G10/Dermato!$F10</f>
        <v>#DIV/0!</v>
      </c>
    </row>
    <row r="11">
      <c r="B11" s="22">
        <v>8.0</v>
      </c>
      <c r="C11" s="52" t="s">
        <v>321</v>
      </c>
      <c r="D11" s="22" t="s">
        <v>52</v>
      </c>
      <c r="E11" s="22"/>
      <c r="F11" s="22"/>
      <c r="G11" s="22"/>
      <c r="H11" s="25" t="str">
        <f>Dermato!$G11/Dermato!$F11</f>
        <v>#DIV/0!</v>
      </c>
    </row>
    <row r="12">
      <c r="B12" s="22">
        <v>9.0</v>
      </c>
      <c r="C12" s="52" t="s">
        <v>322</v>
      </c>
      <c r="D12" s="22" t="s">
        <v>67</v>
      </c>
      <c r="E12" s="22"/>
      <c r="F12" s="22"/>
      <c r="G12" s="22"/>
      <c r="H12" s="25" t="str">
        <f>Dermato!$G12/Dermato!$F12</f>
        <v>#DIV/0!</v>
      </c>
    </row>
    <row r="13">
      <c r="B13" s="9" t="s">
        <v>28</v>
      </c>
      <c r="C13" s="54"/>
      <c r="D13" s="54"/>
      <c r="E13" s="22">
        <f>COUNTA(E4:E12)</f>
        <v>0</v>
      </c>
      <c r="F13" s="22">
        <f t="shared" ref="F13:G13" si="1">SUM(F4:F12)</f>
        <v>0</v>
      </c>
      <c r="G13" s="22">
        <f t="shared" si="1"/>
        <v>0</v>
      </c>
      <c r="H13" s="25" t="str">
        <f>Dermato!$G13/Dermato!$F13</f>
        <v>#DIV/0!</v>
      </c>
    </row>
    <row r="14">
      <c r="B14" s="55"/>
      <c r="C14" s="55"/>
      <c r="D14" s="55"/>
      <c r="E14" s="55"/>
      <c r="F14" s="55"/>
      <c r="G14" s="55"/>
      <c r="H14" s="55"/>
    </row>
    <row r="15">
      <c r="B15" s="55"/>
      <c r="C15" s="55"/>
      <c r="D15" s="55"/>
      <c r="E15" s="55"/>
      <c r="F15" s="55"/>
      <c r="G15" s="55"/>
      <c r="H15" s="55"/>
    </row>
    <row r="16">
      <c r="B16" s="55"/>
      <c r="C16" s="55"/>
      <c r="D16" s="55"/>
      <c r="E16" s="55"/>
      <c r="F16" s="55"/>
      <c r="G16" s="55"/>
      <c r="H16" s="55"/>
    </row>
    <row r="17">
      <c r="B17" s="55"/>
      <c r="C17" s="55"/>
      <c r="D17" s="55"/>
      <c r="E17" s="55"/>
      <c r="F17" s="55"/>
      <c r="G17" s="55"/>
      <c r="H17" s="5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2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2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7.43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59" t="s">
        <v>43</v>
      </c>
      <c r="C3" s="59" t="s">
        <v>44</v>
      </c>
      <c r="D3" s="59" t="s">
        <v>45</v>
      </c>
      <c r="E3" s="59" t="s">
        <v>46</v>
      </c>
      <c r="F3" s="59" t="s">
        <v>6</v>
      </c>
      <c r="G3" s="59" t="s">
        <v>47</v>
      </c>
      <c r="H3" s="59" t="s">
        <v>7</v>
      </c>
      <c r="I3" s="48"/>
    </row>
    <row r="4" ht="18.75" customHeight="1">
      <c r="B4" s="22">
        <v>1.0</v>
      </c>
      <c r="C4" s="22" t="s">
        <v>323</v>
      </c>
      <c r="D4" s="22" t="s">
        <v>49</v>
      </c>
      <c r="E4" s="22"/>
      <c r="F4" s="22"/>
      <c r="G4" s="22"/>
      <c r="H4" s="25" t="str">
        <f>Reumato!$G4/Reumato!$F4</f>
        <v>#DIV/0!</v>
      </c>
    </row>
    <row r="5">
      <c r="B5" s="22">
        <v>2.0</v>
      </c>
      <c r="C5" s="22" t="s">
        <v>323</v>
      </c>
      <c r="D5" s="22" t="s">
        <v>50</v>
      </c>
      <c r="E5" s="22"/>
      <c r="F5" s="22"/>
      <c r="G5" s="22"/>
      <c r="H5" s="25" t="str">
        <f>Reumato!$G5/Reumato!$F5</f>
        <v>#DIV/0!</v>
      </c>
      <c r="I5" s="50"/>
      <c r="J5" s="50"/>
    </row>
    <row r="6">
      <c r="B6" s="22">
        <v>3.0</v>
      </c>
      <c r="C6" s="22" t="s">
        <v>323</v>
      </c>
      <c r="D6" s="22" t="s">
        <v>51</v>
      </c>
      <c r="E6" s="22"/>
      <c r="F6" s="22"/>
      <c r="G6" s="22"/>
      <c r="H6" s="25" t="str">
        <f>Reumato!$G6/Reumato!$F6</f>
        <v>#DIV/0!</v>
      </c>
    </row>
    <row r="7">
      <c r="B7" s="22">
        <v>4.0</v>
      </c>
      <c r="C7" s="22" t="s">
        <v>323</v>
      </c>
      <c r="D7" s="22" t="s">
        <v>52</v>
      </c>
      <c r="E7" s="22"/>
      <c r="F7" s="22"/>
      <c r="G7" s="22"/>
      <c r="H7" s="25" t="str">
        <f>Reumato!$G7/Reumato!$F7</f>
        <v>#DIV/0!</v>
      </c>
    </row>
    <row r="8">
      <c r="B8" s="22">
        <v>5.0</v>
      </c>
      <c r="C8" s="22" t="s">
        <v>324</v>
      </c>
      <c r="D8" s="22" t="s">
        <v>49</v>
      </c>
      <c r="E8" s="22"/>
      <c r="F8" s="22"/>
      <c r="G8" s="22"/>
      <c r="H8" s="25" t="str">
        <f>Reumato!$G8/Reumato!$F8</f>
        <v>#DIV/0!</v>
      </c>
    </row>
    <row r="9">
      <c r="B9" s="22">
        <v>6.0</v>
      </c>
      <c r="C9" s="22" t="s">
        <v>324</v>
      </c>
      <c r="D9" s="22" t="s">
        <v>50</v>
      </c>
      <c r="E9" s="22"/>
      <c r="F9" s="22"/>
      <c r="G9" s="22"/>
      <c r="H9" s="25" t="str">
        <f>Reumato!$G9/Reumato!$F9</f>
        <v>#DIV/0!</v>
      </c>
    </row>
    <row r="10">
      <c r="B10" s="22">
        <v>7.0</v>
      </c>
      <c r="C10" s="22" t="s">
        <v>324</v>
      </c>
      <c r="D10" s="22" t="s">
        <v>101</v>
      </c>
      <c r="E10" s="22"/>
      <c r="F10" s="22"/>
      <c r="G10" s="22"/>
      <c r="H10" s="25" t="str">
        <f>Reumato!$G10/Reumato!$F10</f>
        <v>#DIV/0!</v>
      </c>
    </row>
    <row r="11">
      <c r="B11" s="22">
        <v>8.0</v>
      </c>
      <c r="C11" s="22" t="s">
        <v>324</v>
      </c>
      <c r="D11" s="22" t="s">
        <v>51</v>
      </c>
      <c r="E11" s="22"/>
      <c r="F11" s="22"/>
      <c r="G11" s="22"/>
      <c r="H11" s="25" t="str">
        <f>Reumato!$G11/Reumato!$F11</f>
        <v>#DIV/0!</v>
      </c>
    </row>
    <row r="12">
      <c r="B12" s="22">
        <v>9.0</v>
      </c>
      <c r="C12" s="22" t="s">
        <v>324</v>
      </c>
      <c r="D12" s="22" t="s">
        <v>102</v>
      </c>
      <c r="E12" s="22"/>
      <c r="F12" s="22"/>
      <c r="G12" s="22"/>
      <c r="H12" s="25" t="str">
        <f>Reumato!$G12/Reumato!$F12</f>
        <v>#DIV/0!</v>
      </c>
    </row>
    <row r="13">
      <c r="B13" s="22">
        <v>10.0</v>
      </c>
      <c r="C13" s="22" t="s">
        <v>324</v>
      </c>
      <c r="D13" s="22" t="s">
        <v>52</v>
      </c>
      <c r="E13" s="22"/>
      <c r="F13" s="22"/>
      <c r="G13" s="22"/>
      <c r="H13" s="25" t="str">
        <f>Reumato!$G13/Reumato!$F13</f>
        <v>#DIV/0!</v>
      </c>
    </row>
    <row r="14">
      <c r="B14" s="22">
        <v>11.0</v>
      </c>
      <c r="C14" s="22" t="s">
        <v>325</v>
      </c>
      <c r="D14" s="22" t="s">
        <v>67</v>
      </c>
      <c r="E14" s="22"/>
      <c r="F14" s="22"/>
      <c r="G14" s="22"/>
      <c r="H14" s="25" t="str">
        <f>Reumato!$G14/Reumato!$F14</f>
        <v>#DIV/0!</v>
      </c>
    </row>
    <row r="15">
      <c r="B15" s="22">
        <v>12.0</v>
      </c>
      <c r="C15" s="22" t="s">
        <v>326</v>
      </c>
      <c r="D15" s="22" t="s">
        <v>49</v>
      </c>
      <c r="E15" s="22"/>
      <c r="F15" s="22"/>
      <c r="G15" s="22"/>
      <c r="H15" s="25" t="str">
        <f>Reumato!$G15/Reumato!$F15</f>
        <v>#DIV/0!</v>
      </c>
    </row>
    <row r="16">
      <c r="B16" s="22">
        <v>13.0</v>
      </c>
      <c r="C16" s="22" t="s">
        <v>326</v>
      </c>
      <c r="D16" s="22" t="s">
        <v>50</v>
      </c>
      <c r="E16" s="22"/>
      <c r="F16" s="22"/>
      <c r="G16" s="22"/>
      <c r="H16" s="25" t="str">
        <f>Reumato!$G16/Reumato!$F16</f>
        <v>#DIV/0!</v>
      </c>
    </row>
    <row r="17">
      <c r="B17" s="22">
        <v>14.0</v>
      </c>
      <c r="C17" s="22" t="s">
        <v>326</v>
      </c>
      <c r="D17" s="22" t="s">
        <v>51</v>
      </c>
      <c r="E17" s="22"/>
      <c r="F17" s="22"/>
      <c r="G17" s="22"/>
      <c r="H17" s="25" t="str">
        <f>Reumato!$G17/Reumato!$F17</f>
        <v>#DIV/0!</v>
      </c>
    </row>
    <row r="18">
      <c r="B18" s="22">
        <v>15.0</v>
      </c>
      <c r="C18" s="22" t="s">
        <v>326</v>
      </c>
      <c r="D18" s="22" t="s">
        <v>52</v>
      </c>
      <c r="E18" s="22"/>
      <c r="F18" s="22"/>
      <c r="G18" s="22"/>
      <c r="H18" s="25" t="str">
        <f>Reumato!$G18/Reumato!$F18</f>
        <v>#DIV/0!</v>
      </c>
    </row>
    <row r="19">
      <c r="B19" s="22">
        <v>16.0</v>
      </c>
      <c r="C19" s="22" t="s">
        <v>327</v>
      </c>
      <c r="D19" s="22" t="s">
        <v>67</v>
      </c>
      <c r="E19" s="22"/>
      <c r="F19" s="22"/>
      <c r="G19" s="22"/>
      <c r="H19" s="25" t="str">
        <f>Reumato!$G19/Reumato!$F19</f>
        <v>#DIV/0!</v>
      </c>
    </row>
    <row r="20">
      <c r="B20" s="22">
        <v>17.0</v>
      </c>
      <c r="C20" s="52" t="s">
        <v>328</v>
      </c>
      <c r="D20" s="22" t="s">
        <v>67</v>
      </c>
      <c r="E20" s="22"/>
      <c r="F20" s="22"/>
      <c r="G20" s="22"/>
      <c r="H20" s="25" t="str">
        <f>Reumato!$G20/Reumato!$F20</f>
        <v>#DIV/0!</v>
      </c>
    </row>
    <row r="21" ht="15.75" customHeight="1">
      <c r="B21" s="9" t="s">
        <v>28</v>
      </c>
      <c r="C21" s="54"/>
      <c r="D21" s="54"/>
      <c r="E21" s="22">
        <f>COUNTA(E4:E20)</f>
        <v>0</v>
      </c>
      <c r="F21" s="22">
        <f t="shared" ref="F21:G21" si="1">SUM(F4:F20)</f>
        <v>0</v>
      </c>
      <c r="G21" s="22">
        <f t="shared" si="1"/>
        <v>0</v>
      </c>
      <c r="H21" s="25" t="str">
        <f>Reumato!$G21/Reumato!$F21</f>
        <v>#DIV/0!</v>
      </c>
    </row>
    <row r="22" ht="15.75" customHeight="1">
      <c r="B22" s="55"/>
      <c r="C22" s="55"/>
      <c r="D22" s="55"/>
      <c r="E22" s="55"/>
      <c r="F22" s="55"/>
      <c r="G22" s="55"/>
      <c r="H22" s="55"/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54.86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329</v>
      </c>
      <c r="D4" s="22" t="s">
        <v>67</v>
      </c>
      <c r="E4" s="49"/>
      <c r="F4" s="22"/>
      <c r="G4" s="22"/>
      <c r="H4" s="25" t="str">
        <f>Hepato!$G4/Hepato!$F4</f>
        <v>#DIV/0!</v>
      </c>
    </row>
    <row r="5">
      <c r="B5" s="22">
        <v>2.0</v>
      </c>
      <c r="C5" s="22" t="s">
        <v>330</v>
      </c>
      <c r="D5" s="22" t="s">
        <v>49</v>
      </c>
      <c r="E5" s="49"/>
      <c r="F5" s="22"/>
      <c r="G5" s="22"/>
      <c r="H5" s="25" t="str">
        <f>Hepato!$G5/Hepato!$F5</f>
        <v>#DIV/0!</v>
      </c>
      <c r="I5" s="50"/>
      <c r="J5" s="50"/>
    </row>
    <row r="6">
      <c r="B6" s="22">
        <v>3.0</v>
      </c>
      <c r="C6" s="22" t="s">
        <v>330</v>
      </c>
      <c r="D6" s="22" t="s">
        <v>50</v>
      </c>
      <c r="E6" s="49"/>
      <c r="F6" s="22"/>
      <c r="G6" s="22"/>
      <c r="H6" s="25" t="str">
        <f>Hepato!$G6/Hepato!$F6</f>
        <v>#DIV/0!</v>
      </c>
    </row>
    <row r="7">
      <c r="B7" s="22">
        <v>4.0</v>
      </c>
      <c r="C7" s="22" t="s">
        <v>330</v>
      </c>
      <c r="D7" s="22" t="s">
        <v>51</v>
      </c>
      <c r="E7" s="49"/>
      <c r="F7" s="22"/>
      <c r="G7" s="22"/>
      <c r="H7" s="25" t="str">
        <f>Hepato!$G7/Hepato!$F7</f>
        <v>#DIV/0!</v>
      </c>
    </row>
    <row r="8">
      <c r="B8" s="22">
        <v>5.0</v>
      </c>
      <c r="C8" s="22" t="s">
        <v>330</v>
      </c>
      <c r="D8" s="22" t="s">
        <v>101</v>
      </c>
      <c r="E8" s="22"/>
      <c r="F8" s="22"/>
      <c r="G8" s="22"/>
      <c r="H8" s="25" t="str">
        <f>Hepato!$G8/Hepato!$F8</f>
        <v>#DIV/0!</v>
      </c>
    </row>
    <row r="9">
      <c r="B9" s="22">
        <v>6.0</v>
      </c>
      <c r="C9" s="22" t="s">
        <v>330</v>
      </c>
      <c r="D9" s="22" t="s">
        <v>102</v>
      </c>
      <c r="E9" s="49"/>
      <c r="F9" s="49"/>
      <c r="G9" s="49"/>
      <c r="H9" s="25" t="str">
        <f>Hepato!$G9/Hepato!$F9</f>
        <v>#DIV/0!</v>
      </c>
    </row>
    <row r="10">
      <c r="B10" s="22">
        <v>7.0</v>
      </c>
      <c r="C10" s="22" t="s">
        <v>330</v>
      </c>
      <c r="D10" s="22" t="s">
        <v>119</v>
      </c>
      <c r="E10" s="49"/>
      <c r="F10" s="22"/>
      <c r="G10" s="22"/>
      <c r="H10" s="25" t="str">
        <f>Hepato!$G10/Hepato!$F10</f>
        <v>#DIV/0!</v>
      </c>
    </row>
    <row r="11">
      <c r="B11" s="22">
        <v>8.0</v>
      </c>
      <c r="C11" s="22" t="s">
        <v>330</v>
      </c>
      <c r="D11" s="22" t="s">
        <v>103</v>
      </c>
      <c r="E11" s="22"/>
      <c r="F11" s="22"/>
      <c r="G11" s="22"/>
      <c r="H11" s="25" t="str">
        <f>Hepato!$G11/Hepato!$F11</f>
        <v>#DIV/0!</v>
      </c>
    </row>
    <row r="12">
      <c r="B12" s="22">
        <v>9.0</v>
      </c>
      <c r="C12" s="22" t="s">
        <v>331</v>
      </c>
      <c r="D12" s="22" t="s">
        <v>49</v>
      </c>
      <c r="E12" s="22"/>
      <c r="F12" s="22"/>
      <c r="G12" s="22"/>
      <c r="H12" s="25" t="str">
        <f>Hepato!$G12/Hepato!$F12</f>
        <v>#DIV/0!</v>
      </c>
    </row>
    <row r="13">
      <c r="B13" s="22">
        <v>10.0</v>
      </c>
      <c r="C13" s="22" t="s">
        <v>331</v>
      </c>
      <c r="D13" s="22" t="s">
        <v>50</v>
      </c>
      <c r="E13" s="22"/>
      <c r="F13" s="22"/>
      <c r="G13" s="22"/>
      <c r="H13" s="25" t="str">
        <f>Hepato!$G13/Hepato!$F13</f>
        <v>#DIV/0!</v>
      </c>
    </row>
    <row r="14">
      <c r="B14" s="22">
        <v>11.0</v>
      </c>
      <c r="C14" s="22" t="s">
        <v>331</v>
      </c>
      <c r="D14" s="22" t="s">
        <v>101</v>
      </c>
      <c r="E14" s="22"/>
      <c r="F14" s="22"/>
      <c r="G14" s="22"/>
      <c r="H14" s="25" t="str">
        <f>Hepato!$G14/Hepato!$F14</f>
        <v>#DIV/0!</v>
      </c>
    </row>
    <row r="15">
      <c r="B15" s="22">
        <v>12.0</v>
      </c>
      <c r="C15" s="22" t="s">
        <v>331</v>
      </c>
      <c r="D15" s="22" t="s">
        <v>51</v>
      </c>
      <c r="E15" s="22"/>
      <c r="F15" s="22"/>
      <c r="G15" s="22"/>
      <c r="H15" s="25" t="str">
        <f>Hepato!$G15/Hepato!$F15</f>
        <v>#DIV/0!</v>
      </c>
    </row>
    <row r="16">
      <c r="B16" s="22">
        <v>13.0</v>
      </c>
      <c r="C16" s="22" t="s">
        <v>331</v>
      </c>
      <c r="D16" s="22" t="s">
        <v>102</v>
      </c>
      <c r="E16" s="22"/>
      <c r="F16" s="22"/>
      <c r="G16" s="22"/>
      <c r="H16" s="25" t="str">
        <f>Hepato!$G16/Hepato!$F16</f>
        <v>#DIV/0!</v>
      </c>
    </row>
    <row r="17">
      <c r="B17" s="22">
        <v>14.0</v>
      </c>
      <c r="C17" s="22" t="s">
        <v>331</v>
      </c>
      <c r="D17" s="22" t="s">
        <v>103</v>
      </c>
      <c r="E17" s="22"/>
      <c r="F17" s="22"/>
      <c r="G17" s="22"/>
      <c r="H17" s="25" t="str">
        <f>Hepato!$G17/Hepato!$F17</f>
        <v>#DIV/0!</v>
      </c>
    </row>
    <row r="18">
      <c r="B18" s="22">
        <v>15.0</v>
      </c>
      <c r="C18" s="22" t="s">
        <v>332</v>
      </c>
      <c r="D18" s="22" t="s">
        <v>67</v>
      </c>
      <c r="E18" s="22"/>
      <c r="F18" s="22"/>
      <c r="G18" s="22"/>
      <c r="H18" s="25" t="str">
        <f>Hepato!$G18/Hepato!$F18</f>
        <v>#DIV/0!</v>
      </c>
    </row>
    <row r="19">
      <c r="B19" s="22">
        <v>16.0</v>
      </c>
      <c r="C19" s="22" t="s">
        <v>333</v>
      </c>
      <c r="D19" s="22" t="s">
        <v>67</v>
      </c>
      <c r="E19" s="22"/>
      <c r="F19" s="22"/>
      <c r="G19" s="22"/>
      <c r="H19" s="25" t="str">
        <f>Hepato!$G19/Hepato!$F19</f>
        <v>#DIV/0!</v>
      </c>
    </row>
    <row r="20">
      <c r="B20" s="22">
        <v>17.0</v>
      </c>
      <c r="C20" s="22" t="s">
        <v>334</v>
      </c>
      <c r="D20" s="22" t="s">
        <v>67</v>
      </c>
      <c r="E20" s="22"/>
      <c r="F20" s="22"/>
      <c r="G20" s="22"/>
      <c r="H20" s="25" t="str">
        <f>Hepato!$G20/Hepato!$F20</f>
        <v>#DIV/0!</v>
      </c>
    </row>
    <row r="21" ht="15.75" customHeight="1">
      <c r="B21" s="22">
        <v>18.0</v>
      </c>
      <c r="C21" s="22" t="s">
        <v>334</v>
      </c>
      <c r="D21" s="22" t="s">
        <v>52</v>
      </c>
      <c r="E21" s="22"/>
      <c r="F21" s="22"/>
      <c r="G21" s="22"/>
      <c r="H21" s="25" t="str">
        <f>Hepato!$G21/Hepato!$F21</f>
        <v>#DIV/0!</v>
      </c>
    </row>
    <row r="22" ht="15.75" customHeight="1">
      <c r="B22" s="9" t="s">
        <v>28</v>
      </c>
      <c r="C22" s="54"/>
      <c r="D22" s="54"/>
      <c r="E22" s="22">
        <f>COUNTA(E4:E21)</f>
        <v>0</v>
      </c>
      <c r="F22" s="22">
        <f t="shared" ref="F22:G22" si="1">SUM(F4:F21)</f>
        <v>0</v>
      </c>
      <c r="G22" s="22">
        <f t="shared" si="1"/>
        <v>0</v>
      </c>
      <c r="H22" s="25" t="str">
        <f>Hepato!$G22/Hepato!$F22</f>
        <v>#DIV/0!</v>
      </c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9">
    <cfRule type="containsText" dxfId="10" priority="1" operator="containsText" text="Sim">
      <formula>NOT(ISERROR(SEARCH(("Sim"),(E4))))</formula>
    </cfRule>
  </conditionalFormatting>
  <conditionalFormatting sqref="E20:E21">
    <cfRule type="containsText" dxfId="10" priority="2" operator="containsText" text="Sim">
      <formula>NOT(ISERROR(SEARCH(("Sim"),(E20))))</formula>
    </cfRule>
  </conditionalFormatting>
  <dataValidations>
    <dataValidation type="list" allowBlank="1" showInputMessage="1" showErrorMessage="1" prompt="Tarefa Realizada? - Click em &quot;Sim&quot; ao realizar toda a Tarefa correspondente!" sqref="E4:E21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73.57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>
      <c r="B4" s="22">
        <v>1.0</v>
      </c>
      <c r="C4" s="52" t="s">
        <v>335</v>
      </c>
      <c r="D4" s="22" t="s">
        <v>49</v>
      </c>
      <c r="E4" s="22"/>
      <c r="F4" s="22"/>
      <c r="G4" s="22"/>
      <c r="H4" s="25" t="str">
        <f>Otorrino!$G4/Otorrino!$F4</f>
        <v>#DIV/0!</v>
      </c>
    </row>
    <row r="5">
      <c r="B5" s="22">
        <v>2.0</v>
      </c>
      <c r="C5" s="52" t="s">
        <v>335</v>
      </c>
      <c r="D5" s="22" t="s">
        <v>50</v>
      </c>
      <c r="E5" s="22"/>
      <c r="F5" s="22"/>
      <c r="G5" s="22"/>
      <c r="H5" s="25" t="str">
        <f>Otorrino!$G5/Otorrino!$F5</f>
        <v>#DIV/0!</v>
      </c>
      <c r="I5" s="50"/>
      <c r="J5" s="50"/>
    </row>
    <row r="6">
      <c r="B6" s="22">
        <v>3.0</v>
      </c>
      <c r="C6" s="52" t="s">
        <v>335</v>
      </c>
      <c r="D6" s="22" t="s">
        <v>52</v>
      </c>
      <c r="E6" s="22"/>
      <c r="F6" s="22"/>
      <c r="G6" s="22"/>
      <c r="H6" s="25" t="str">
        <f>Otorrino!$G6/Otorrino!$F6</f>
        <v>#DIV/0!</v>
      </c>
    </row>
    <row r="7">
      <c r="B7" s="22">
        <v>4.0</v>
      </c>
      <c r="C7" s="22" t="s">
        <v>336</v>
      </c>
      <c r="D7" s="22" t="s">
        <v>49</v>
      </c>
      <c r="E7" s="22"/>
      <c r="F7" s="22"/>
      <c r="G7" s="22"/>
      <c r="H7" s="25" t="str">
        <f>Otorrino!$G7/Otorrino!$F7</f>
        <v>#DIV/0!</v>
      </c>
    </row>
    <row r="8">
      <c r="B8" s="22">
        <v>5.0</v>
      </c>
      <c r="C8" s="22" t="s">
        <v>336</v>
      </c>
      <c r="D8" s="22" t="s">
        <v>50</v>
      </c>
      <c r="E8" s="22"/>
      <c r="F8" s="22"/>
      <c r="G8" s="22"/>
      <c r="H8" s="25" t="str">
        <f>Otorrino!$G8/Otorrino!$F8</f>
        <v>#DIV/0!</v>
      </c>
    </row>
    <row r="9">
      <c r="B9" s="22">
        <v>6.0</v>
      </c>
      <c r="C9" s="22" t="s">
        <v>336</v>
      </c>
      <c r="D9" s="22" t="s">
        <v>52</v>
      </c>
      <c r="E9" s="22"/>
      <c r="F9" s="22"/>
      <c r="G9" s="22"/>
      <c r="H9" s="25" t="str">
        <f>Otorrino!$G9/Otorrino!$F9</f>
        <v>#DIV/0!</v>
      </c>
    </row>
    <row r="10">
      <c r="B10" s="22">
        <v>7.0</v>
      </c>
      <c r="C10" s="22" t="s">
        <v>337</v>
      </c>
      <c r="D10" s="22" t="s">
        <v>49</v>
      </c>
      <c r="E10" s="22"/>
      <c r="F10" s="22"/>
      <c r="G10" s="22"/>
      <c r="H10" s="25" t="str">
        <f>Otorrino!$G10/Otorrino!$F10</f>
        <v>#DIV/0!</v>
      </c>
    </row>
    <row r="11">
      <c r="B11" s="22">
        <v>8.0</v>
      </c>
      <c r="C11" s="22" t="s">
        <v>337</v>
      </c>
      <c r="D11" s="22" t="s">
        <v>50</v>
      </c>
      <c r="E11" s="22"/>
      <c r="F11" s="22"/>
      <c r="G11" s="22"/>
      <c r="H11" s="25" t="str">
        <f>Otorrino!$G11/Otorrino!$F11</f>
        <v>#DIV/0!</v>
      </c>
    </row>
    <row r="12">
      <c r="B12" s="22">
        <v>9.0</v>
      </c>
      <c r="C12" s="22" t="s">
        <v>337</v>
      </c>
      <c r="D12" s="22" t="s">
        <v>52</v>
      </c>
      <c r="E12" s="22"/>
      <c r="F12" s="22"/>
      <c r="G12" s="22"/>
      <c r="H12" s="25" t="str">
        <f>Otorrino!$G12/Otorrino!$F12</f>
        <v>#DIV/0!</v>
      </c>
    </row>
    <row r="13">
      <c r="B13" s="22">
        <v>10.0</v>
      </c>
      <c r="C13" s="22" t="s">
        <v>338</v>
      </c>
      <c r="D13" s="22" t="s">
        <v>67</v>
      </c>
      <c r="E13" s="22"/>
      <c r="F13" s="22"/>
      <c r="G13" s="22"/>
      <c r="H13" s="25" t="str">
        <f>Otorrino!$G13/Otorrino!$F13</f>
        <v>#DIV/0!</v>
      </c>
    </row>
    <row r="14">
      <c r="B14" s="22">
        <v>11.0</v>
      </c>
      <c r="C14" s="22" t="s">
        <v>339</v>
      </c>
      <c r="D14" s="22" t="s">
        <v>67</v>
      </c>
      <c r="E14" s="22"/>
      <c r="F14" s="22"/>
      <c r="G14" s="22"/>
      <c r="H14" s="25" t="str">
        <f>Otorrino!$G14/Otorrino!$F14</f>
        <v>#DIV/0!</v>
      </c>
    </row>
    <row r="15">
      <c r="B15" s="9" t="s">
        <v>28</v>
      </c>
      <c r="C15" s="54"/>
      <c r="D15" s="54"/>
      <c r="E15" s="22">
        <f>COUNTA(E4:E14)</f>
        <v>0</v>
      </c>
      <c r="F15" s="22">
        <f t="shared" ref="F15:G15" si="1">SUM(F4:F14)</f>
        <v>0</v>
      </c>
      <c r="G15" s="22">
        <f t="shared" si="1"/>
        <v>0</v>
      </c>
      <c r="H15" s="25" t="str">
        <f>Otorrino!$G15/Otorrino!$F15</f>
        <v>#DIV/0!</v>
      </c>
    </row>
    <row r="16">
      <c r="B16" s="55"/>
      <c r="C16" s="55"/>
      <c r="D16" s="55"/>
      <c r="E16" s="55"/>
      <c r="F16" s="55"/>
      <c r="G16" s="55"/>
      <c r="H16" s="55"/>
    </row>
    <row r="17">
      <c r="B17" s="55"/>
      <c r="C17" s="55"/>
      <c r="D17" s="55"/>
      <c r="E17" s="55"/>
      <c r="F17" s="55"/>
      <c r="G17" s="55"/>
      <c r="H17" s="55"/>
    </row>
    <row r="18">
      <c r="B18" s="55"/>
      <c r="C18" s="55"/>
      <c r="D18" s="55"/>
      <c r="E18" s="55"/>
      <c r="F18" s="55"/>
      <c r="G18" s="55"/>
      <c r="H18" s="55"/>
    </row>
    <row r="19">
      <c r="B19" s="55"/>
      <c r="C19" s="55"/>
      <c r="D19" s="55"/>
      <c r="E19" s="55"/>
      <c r="F19" s="55"/>
      <c r="G19" s="55"/>
      <c r="H19" s="5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4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4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4.14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340</v>
      </c>
      <c r="D4" s="22" t="s">
        <v>49</v>
      </c>
      <c r="E4" s="22"/>
      <c r="F4" s="22"/>
      <c r="G4" s="22"/>
      <c r="H4" s="25" t="str">
        <f>Ortopedia!$G4/Ortopedia!$F4</f>
        <v>#DIV/0!</v>
      </c>
    </row>
    <row r="5">
      <c r="B5" s="22">
        <v>2.0</v>
      </c>
      <c r="C5" s="22" t="s">
        <v>340</v>
      </c>
      <c r="D5" s="22" t="s">
        <v>50</v>
      </c>
      <c r="E5" s="22"/>
      <c r="F5" s="22"/>
      <c r="G5" s="22"/>
      <c r="H5" s="25" t="str">
        <f>Ortopedia!$G5/Ortopedia!$F5</f>
        <v>#DIV/0!</v>
      </c>
      <c r="I5" s="50"/>
      <c r="J5" s="50"/>
    </row>
    <row r="6">
      <c r="B6" s="22">
        <v>3.0</v>
      </c>
      <c r="C6" s="22" t="s">
        <v>340</v>
      </c>
      <c r="D6" s="22" t="s">
        <v>52</v>
      </c>
      <c r="E6" s="22"/>
      <c r="F6" s="22"/>
      <c r="G6" s="22"/>
      <c r="H6" s="25" t="str">
        <f>Ortopedia!$G6/Ortopedia!$F6</f>
        <v>#DIV/0!</v>
      </c>
    </row>
    <row r="7">
      <c r="B7" s="22">
        <v>4.0</v>
      </c>
      <c r="C7" s="22" t="s">
        <v>341</v>
      </c>
      <c r="D7" s="22" t="s">
        <v>49</v>
      </c>
      <c r="E7" s="22"/>
      <c r="F7" s="22"/>
      <c r="G7" s="22"/>
      <c r="H7" s="25" t="str">
        <f>Ortopedia!$G7/Ortopedia!$F7</f>
        <v>#DIV/0!</v>
      </c>
    </row>
    <row r="8">
      <c r="B8" s="22">
        <v>5.0</v>
      </c>
      <c r="C8" s="22" t="s">
        <v>341</v>
      </c>
      <c r="D8" s="22" t="s">
        <v>50</v>
      </c>
      <c r="E8" s="22"/>
      <c r="F8" s="22"/>
      <c r="G8" s="22"/>
      <c r="H8" s="25" t="str">
        <f>Ortopedia!$G8/Ortopedia!$F8</f>
        <v>#DIV/0!</v>
      </c>
    </row>
    <row r="9">
      <c r="B9" s="22">
        <v>6.0</v>
      </c>
      <c r="C9" s="22" t="s">
        <v>341</v>
      </c>
      <c r="D9" s="22" t="s">
        <v>51</v>
      </c>
      <c r="E9" s="22"/>
      <c r="F9" s="22"/>
      <c r="G9" s="22"/>
      <c r="H9" s="25" t="str">
        <f>Ortopedia!$G9/Ortopedia!$F9</f>
        <v>#DIV/0!</v>
      </c>
    </row>
    <row r="10">
      <c r="B10" s="22">
        <v>7.0</v>
      </c>
      <c r="C10" s="22" t="s">
        <v>341</v>
      </c>
      <c r="D10" s="22" t="s">
        <v>52</v>
      </c>
      <c r="E10" s="22"/>
      <c r="F10" s="22"/>
      <c r="G10" s="22"/>
      <c r="H10" s="25" t="str">
        <f>Ortopedia!$G10/Ortopedia!$F10</f>
        <v>#DIV/0!</v>
      </c>
    </row>
    <row r="11">
      <c r="B11" s="22">
        <v>8.0</v>
      </c>
      <c r="C11" s="22" t="s">
        <v>342</v>
      </c>
      <c r="D11" s="22" t="s">
        <v>67</v>
      </c>
      <c r="E11" s="22"/>
      <c r="F11" s="22"/>
      <c r="G11" s="22"/>
      <c r="H11" s="25" t="str">
        <f>Ortopedia!$G11/Ortopedia!$F11</f>
        <v>#DIV/0!</v>
      </c>
    </row>
    <row r="12">
      <c r="B12" s="22">
        <v>9.0</v>
      </c>
      <c r="C12" s="22" t="s">
        <v>342</v>
      </c>
      <c r="D12" s="22" t="s">
        <v>52</v>
      </c>
      <c r="E12" s="22"/>
      <c r="F12" s="22"/>
      <c r="G12" s="22"/>
      <c r="H12" s="25" t="str">
        <f>Ortopedia!$G12/Ortopedia!$F12</f>
        <v>#DIV/0!</v>
      </c>
    </row>
    <row r="13">
      <c r="B13" s="22">
        <v>10.0</v>
      </c>
      <c r="C13" s="22" t="s">
        <v>343</v>
      </c>
      <c r="D13" s="22" t="s">
        <v>67</v>
      </c>
      <c r="E13" s="22"/>
      <c r="F13" s="22"/>
      <c r="G13" s="22"/>
      <c r="H13" s="25" t="str">
        <f>Ortopedia!$G13/Ortopedia!$F13</f>
        <v>#DIV/0!</v>
      </c>
    </row>
    <row r="14">
      <c r="B14" s="22">
        <v>11.0</v>
      </c>
      <c r="C14" s="22" t="s">
        <v>344</v>
      </c>
      <c r="D14" s="22" t="s">
        <v>67</v>
      </c>
      <c r="E14" s="22"/>
      <c r="F14" s="22"/>
      <c r="G14" s="22"/>
      <c r="H14" s="25" t="str">
        <f>Ortopedia!$G14/Ortopedia!$F14</f>
        <v>#DIV/0!</v>
      </c>
    </row>
    <row r="15">
      <c r="B15" s="22">
        <v>12.0</v>
      </c>
      <c r="C15" s="22" t="s">
        <v>345</v>
      </c>
      <c r="D15" s="22" t="s">
        <v>67</v>
      </c>
      <c r="E15" s="22"/>
      <c r="F15" s="22"/>
      <c r="G15" s="22"/>
      <c r="H15" s="25" t="str">
        <f>Ortopedia!$G15/Ortopedia!$F15</f>
        <v>#DIV/0!</v>
      </c>
    </row>
    <row r="16">
      <c r="B16" s="22">
        <v>13.0</v>
      </c>
      <c r="C16" s="22" t="s">
        <v>346</v>
      </c>
      <c r="D16" s="22" t="s">
        <v>67</v>
      </c>
      <c r="E16" s="22"/>
      <c r="F16" s="22"/>
      <c r="G16" s="22"/>
      <c r="H16" s="25" t="str">
        <f>Ortopedia!$G16/Ortopedia!$F16</f>
        <v>#DIV/0!</v>
      </c>
    </row>
    <row r="17">
      <c r="B17" s="22">
        <v>14.0</v>
      </c>
      <c r="C17" s="22" t="s">
        <v>347</v>
      </c>
      <c r="D17" s="22" t="s">
        <v>67</v>
      </c>
      <c r="E17" s="22"/>
      <c r="F17" s="22"/>
      <c r="G17" s="22"/>
      <c r="H17" s="25" t="str">
        <f>Ortopedia!$G17/Ortopedia!$F17</f>
        <v>#DIV/0!</v>
      </c>
    </row>
    <row r="18">
      <c r="B18" s="9" t="s">
        <v>28</v>
      </c>
      <c r="C18" s="54"/>
      <c r="D18" s="54"/>
      <c r="E18" s="22">
        <f>COUNTA(E4:E17)</f>
        <v>0</v>
      </c>
      <c r="F18" s="22">
        <f t="shared" ref="F18:G18" si="1">SUM(F4:F17)</f>
        <v>0</v>
      </c>
      <c r="G18" s="22">
        <f t="shared" si="1"/>
        <v>0</v>
      </c>
      <c r="H18" s="25" t="str">
        <f>Ortopedia!$G18/Ortopedia!$F18</f>
        <v>#DIV/0!</v>
      </c>
    </row>
    <row r="19">
      <c r="B19" s="55"/>
      <c r="C19" s="55"/>
      <c r="D19" s="55"/>
      <c r="E19" s="55"/>
      <c r="F19" s="55"/>
      <c r="G19" s="55"/>
      <c r="H19" s="55"/>
    </row>
    <row r="20">
      <c r="B20" s="55"/>
      <c r="C20" s="55"/>
      <c r="D20" s="55"/>
      <c r="E20" s="55"/>
      <c r="F20" s="55"/>
      <c r="G20" s="55"/>
      <c r="H20" s="55"/>
    </row>
    <row r="21" ht="15.75" customHeight="1">
      <c r="B21" s="55"/>
      <c r="C21" s="55"/>
      <c r="D21" s="55"/>
      <c r="E21" s="55"/>
      <c r="F21" s="55"/>
      <c r="G21" s="55"/>
      <c r="H21" s="55"/>
    </row>
    <row r="22" ht="15.75" customHeight="1">
      <c r="B22" s="55"/>
      <c r="C22" s="55"/>
      <c r="D22" s="55"/>
      <c r="E22" s="55"/>
      <c r="F22" s="55"/>
      <c r="G22" s="55"/>
      <c r="H22" s="5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7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7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1.14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348</v>
      </c>
      <c r="D4" s="22" t="s">
        <v>49</v>
      </c>
      <c r="E4" s="22"/>
      <c r="F4" s="22"/>
      <c r="G4" s="22"/>
      <c r="H4" s="25" t="str">
        <f>Oftalmo!$G4/Oftalmo!$F4</f>
        <v>#DIV/0!</v>
      </c>
    </row>
    <row r="5">
      <c r="B5" s="22">
        <v>2.0</v>
      </c>
      <c r="C5" s="22" t="s">
        <v>348</v>
      </c>
      <c r="D5" s="22" t="s">
        <v>50</v>
      </c>
      <c r="E5" s="22"/>
      <c r="F5" s="22"/>
      <c r="G5" s="22"/>
      <c r="H5" s="25" t="str">
        <f>Oftalmo!$G5/Oftalmo!$F5</f>
        <v>#DIV/0!</v>
      </c>
      <c r="I5" s="50"/>
      <c r="J5" s="50"/>
    </row>
    <row r="6">
      <c r="B6" s="22">
        <v>3.0</v>
      </c>
      <c r="C6" s="22" t="s">
        <v>348</v>
      </c>
      <c r="D6" s="22" t="s">
        <v>52</v>
      </c>
      <c r="E6" s="22"/>
      <c r="F6" s="22"/>
      <c r="G6" s="22"/>
      <c r="H6" s="25" t="str">
        <f>Oftalmo!$G6/Oftalmo!$F6</f>
        <v>#DIV/0!</v>
      </c>
    </row>
    <row r="7">
      <c r="B7" s="22">
        <v>4.0</v>
      </c>
      <c r="C7" s="22" t="s">
        <v>349</v>
      </c>
      <c r="D7" s="22" t="s">
        <v>49</v>
      </c>
      <c r="E7" s="22"/>
      <c r="F7" s="22"/>
      <c r="G7" s="22"/>
      <c r="H7" s="25" t="str">
        <f>Oftalmo!$G7/Oftalmo!$F7</f>
        <v>#DIV/0!</v>
      </c>
    </row>
    <row r="8">
      <c r="B8" s="22">
        <v>5.0</v>
      </c>
      <c r="C8" s="22" t="s">
        <v>349</v>
      </c>
      <c r="D8" s="22" t="s">
        <v>50</v>
      </c>
      <c r="E8" s="22"/>
      <c r="F8" s="22"/>
      <c r="G8" s="22"/>
      <c r="H8" s="25" t="str">
        <f>Oftalmo!$G8/Oftalmo!$F8</f>
        <v>#DIV/0!</v>
      </c>
    </row>
    <row r="9">
      <c r="B9" s="22">
        <v>6.0</v>
      </c>
      <c r="C9" s="22" t="s">
        <v>349</v>
      </c>
      <c r="D9" s="22" t="s">
        <v>52</v>
      </c>
      <c r="E9" s="22"/>
      <c r="F9" s="22"/>
      <c r="G9" s="22"/>
      <c r="H9" s="25" t="str">
        <f>Oftalmo!$G9/Oftalmo!$F9</f>
        <v>#DIV/0!</v>
      </c>
    </row>
    <row r="10">
      <c r="B10" s="22">
        <v>7.0</v>
      </c>
      <c r="C10" s="22" t="s">
        <v>350</v>
      </c>
      <c r="D10" s="22" t="s">
        <v>67</v>
      </c>
      <c r="E10" s="22"/>
      <c r="F10" s="22"/>
      <c r="G10" s="22"/>
      <c r="H10" s="25" t="str">
        <f>Oftalmo!$G10/Oftalmo!$F10</f>
        <v>#DIV/0!</v>
      </c>
    </row>
    <row r="11">
      <c r="B11" s="9" t="s">
        <v>28</v>
      </c>
      <c r="C11" s="54"/>
      <c r="D11" s="54"/>
      <c r="E11" s="22">
        <f>COUNTA(E4:E10)</f>
        <v>0</v>
      </c>
      <c r="F11" s="22">
        <f t="shared" ref="F11:G11" si="1">SUM(F4:F10)</f>
        <v>0</v>
      </c>
      <c r="G11" s="22">
        <f t="shared" si="1"/>
        <v>0</v>
      </c>
      <c r="H11" s="25" t="str">
        <f>Oftalmo!$G11/Oftalmo!$F11</f>
        <v>#DIV/0!</v>
      </c>
    </row>
    <row r="12">
      <c r="B12" s="55"/>
      <c r="C12" s="55"/>
      <c r="D12" s="55"/>
      <c r="E12" s="55"/>
      <c r="F12" s="55"/>
      <c r="G12" s="55"/>
      <c r="H12" s="55"/>
    </row>
    <row r="13">
      <c r="B13" s="55"/>
      <c r="C13" s="55"/>
      <c r="D13" s="55"/>
      <c r="E13" s="55"/>
      <c r="F13" s="55"/>
      <c r="G13" s="55"/>
      <c r="H13" s="55"/>
    </row>
    <row r="14">
      <c r="B14" s="55"/>
      <c r="C14" s="55"/>
      <c r="D14" s="55"/>
      <c r="E14" s="55"/>
      <c r="F14" s="55"/>
      <c r="G14" s="55"/>
      <c r="H14" s="55"/>
    </row>
    <row r="15">
      <c r="B15" s="55"/>
      <c r="C15" s="55"/>
      <c r="D15" s="55"/>
      <c r="E15" s="55"/>
      <c r="F15" s="55"/>
      <c r="G15" s="55"/>
      <c r="H15" s="5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4.29"/>
    <col customWidth="1" min="4" max="4" width="14.86"/>
    <col customWidth="1" min="5" max="5" width="17.0"/>
    <col customWidth="1" min="6" max="6" width="8.71"/>
    <col customWidth="1" min="7" max="7" width="18.43"/>
    <col customWidth="1" min="8" max="8" width="24.29"/>
    <col customWidth="1" min="9" max="9" width="14.86"/>
    <col customWidth="1" min="10" max="10" width="17.0"/>
    <col customWidth="1" min="11" max="11" width="8.71"/>
    <col customWidth="1" min="12" max="12" width="18.43"/>
    <col customWidth="1" min="13" max="13" width="24.29"/>
    <col customWidth="1" min="14" max="14" width="14.86"/>
    <col customWidth="1" min="15" max="15" width="17.0"/>
    <col customWidth="1" min="16" max="16" width="8.71"/>
    <col customWidth="1" min="17" max="17" width="18.43"/>
    <col customWidth="1" min="18" max="18" width="24.29"/>
    <col customWidth="1" min="19" max="19" width="14.86"/>
    <col customWidth="1" min="20" max="20" width="17.0"/>
    <col customWidth="1" min="21" max="21" width="8.71"/>
    <col customWidth="1" min="22" max="22" width="18.43"/>
    <col customWidth="1" min="23" max="23" width="24.29"/>
    <col customWidth="1" min="24" max="24" width="14.86"/>
    <col customWidth="1" min="25" max="25" width="17.0"/>
    <col customWidth="1" min="26" max="26" width="8.71"/>
    <col customWidth="1" min="27" max="27" width="18.43"/>
    <col customWidth="1" min="28" max="28" width="24.29"/>
    <col customWidth="1" min="29" max="29" width="14.86"/>
    <col customWidth="1" min="30" max="30" width="17.0"/>
    <col customWidth="1" min="31" max="31" width="8.71"/>
    <col customWidth="1" min="32" max="32" width="18.43"/>
    <col customWidth="1" min="33" max="33" width="24.29"/>
    <col customWidth="1" min="34" max="34" width="14.86"/>
    <col customWidth="1" min="35" max="35" width="17.0"/>
    <col customWidth="1" min="36" max="36" width="8.71"/>
  </cols>
  <sheetData>
    <row r="3">
      <c r="B3" s="60" t="s">
        <v>351</v>
      </c>
      <c r="C3" s="61"/>
      <c r="D3" s="61"/>
      <c r="E3" s="62"/>
      <c r="F3" s="50"/>
      <c r="G3" s="60" t="s">
        <v>352</v>
      </c>
      <c r="H3" s="61"/>
      <c r="I3" s="61"/>
      <c r="J3" s="62"/>
      <c r="K3" s="50"/>
      <c r="L3" s="60" t="s">
        <v>353</v>
      </c>
      <c r="M3" s="61"/>
      <c r="N3" s="61"/>
      <c r="O3" s="62"/>
      <c r="P3" s="50"/>
      <c r="Q3" s="60" t="s">
        <v>354</v>
      </c>
      <c r="R3" s="61"/>
      <c r="S3" s="61"/>
      <c r="T3" s="62"/>
      <c r="U3" s="50"/>
      <c r="V3" s="60" t="s">
        <v>355</v>
      </c>
      <c r="W3" s="61"/>
      <c r="X3" s="61"/>
      <c r="Y3" s="62"/>
      <c r="AA3" s="60" t="s">
        <v>356</v>
      </c>
      <c r="AB3" s="61"/>
      <c r="AC3" s="61"/>
      <c r="AD3" s="62"/>
      <c r="AE3" s="50"/>
      <c r="AF3" s="60" t="s">
        <v>357</v>
      </c>
      <c r="AG3" s="61"/>
      <c r="AH3" s="61"/>
      <c r="AI3" s="62"/>
      <c r="AJ3" s="50"/>
    </row>
    <row r="4">
      <c r="B4" s="63" t="s">
        <v>3</v>
      </c>
      <c r="C4" s="63" t="s">
        <v>6</v>
      </c>
      <c r="D4" s="63" t="s">
        <v>47</v>
      </c>
      <c r="E4" s="63" t="s">
        <v>7</v>
      </c>
      <c r="F4" s="50"/>
      <c r="G4" s="63" t="s">
        <v>3</v>
      </c>
      <c r="H4" s="63" t="s">
        <v>6</v>
      </c>
      <c r="I4" s="63" t="s">
        <v>47</v>
      </c>
      <c r="J4" s="63" t="s">
        <v>7</v>
      </c>
      <c r="K4" s="50"/>
      <c r="L4" s="63" t="s">
        <v>3</v>
      </c>
      <c r="M4" s="63" t="s">
        <v>6</v>
      </c>
      <c r="N4" s="63" t="s">
        <v>47</v>
      </c>
      <c r="O4" s="63" t="s">
        <v>7</v>
      </c>
      <c r="P4" s="50"/>
      <c r="Q4" s="63" t="s">
        <v>3</v>
      </c>
      <c r="R4" s="63" t="s">
        <v>6</v>
      </c>
      <c r="S4" s="63" t="s">
        <v>47</v>
      </c>
      <c r="T4" s="63" t="s">
        <v>7</v>
      </c>
      <c r="U4" s="50"/>
      <c r="V4" s="63" t="s">
        <v>3</v>
      </c>
      <c r="W4" s="63" t="s">
        <v>6</v>
      </c>
      <c r="X4" s="63" t="s">
        <v>47</v>
      </c>
      <c r="Y4" s="63" t="s">
        <v>7</v>
      </c>
      <c r="AA4" s="63" t="s">
        <v>3</v>
      </c>
      <c r="AB4" s="63" t="s">
        <v>6</v>
      </c>
      <c r="AC4" s="63" t="s">
        <v>47</v>
      </c>
      <c r="AD4" s="63" t="s">
        <v>7</v>
      </c>
      <c r="AE4" s="50"/>
      <c r="AF4" s="63" t="s">
        <v>3</v>
      </c>
      <c r="AG4" s="63" t="s">
        <v>6</v>
      </c>
      <c r="AH4" s="63" t="s">
        <v>47</v>
      </c>
      <c r="AI4" s="63" t="s">
        <v>7</v>
      </c>
      <c r="AJ4" s="50"/>
    </row>
    <row r="5">
      <c r="B5" s="64" t="s">
        <v>8</v>
      </c>
      <c r="C5" s="64">
        <v>0.0</v>
      </c>
      <c r="D5" s="64">
        <v>0.0</v>
      </c>
      <c r="E5" s="65" t="str">
        <f>'Simulado Final 1'!$D5/'Simulado Final 1'!$C5</f>
        <v>#DIV/0!</v>
      </c>
      <c r="F5" s="50"/>
      <c r="G5" s="64" t="s">
        <v>8</v>
      </c>
      <c r="H5" s="64">
        <v>0.0</v>
      </c>
      <c r="I5" s="64">
        <v>0.0</v>
      </c>
      <c r="J5" s="65" t="str">
        <f>'Simulado Final 1'!$I5/'Simulado Final 1'!$H5</f>
        <v>#DIV/0!</v>
      </c>
      <c r="K5" s="50"/>
      <c r="L5" s="64" t="s">
        <v>8</v>
      </c>
      <c r="M5" s="64">
        <v>0.0</v>
      </c>
      <c r="N5" s="64">
        <v>0.0</v>
      </c>
      <c r="O5" s="65" t="str">
        <f>'Simulado Final 1'!$N5/'Simulado Final 1'!$M5</f>
        <v>#DIV/0!</v>
      </c>
      <c r="P5" s="50"/>
      <c r="Q5" s="64" t="s">
        <v>8</v>
      </c>
      <c r="R5" s="64">
        <v>0.0</v>
      </c>
      <c r="S5" s="64">
        <v>0.0</v>
      </c>
      <c r="T5" s="65" t="str">
        <f>'Simulado Final 1'!$S5/'Simulado Final 1'!$R5</f>
        <v>#DIV/0!</v>
      </c>
      <c r="U5" s="50"/>
      <c r="V5" s="64" t="s">
        <v>8</v>
      </c>
      <c r="W5" s="64">
        <v>0.0</v>
      </c>
      <c r="X5" s="64">
        <v>0.0</v>
      </c>
      <c r="Y5" s="65" t="str">
        <f>'Simulado Final 1'!$X5/'Simulado Final 1'!$W5</f>
        <v>#DIV/0!</v>
      </c>
      <c r="AA5" s="64" t="s">
        <v>8</v>
      </c>
      <c r="AB5" s="64">
        <v>0.0</v>
      </c>
      <c r="AC5" s="64">
        <v>0.0</v>
      </c>
      <c r="AD5" s="65" t="str">
        <f>'Simulado Final 1'!$AC5/'Simulado Final 1'!$AB5</f>
        <v>#DIV/0!</v>
      </c>
      <c r="AE5" s="50"/>
      <c r="AF5" s="64" t="s">
        <v>8</v>
      </c>
      <c r="AG5" s="64">
        <v>0.0</v>
      </c>
      <c r="AH5" s="64">
        <v>0.0</v>
      </c>
      <c r="AI5" s="65" t="str">
        <f>'Simulado Final 1'!$AH5/'Simulado Final 1'!$AG5</f>
        <v>#DIV/0!</v>
      </c>
      <c r="AJ5" s="50"/>
    </row>
    <row r="6">
      <c r="B6" s="64" t="s">
        <v>9</v>
      </c>
      <c r="C6" s="64">
        <v>0.0</v>
      </c>
      <c r="D6" s="64">
        <v>0.0</v>
      </c>
      <c r="E6" s="65" t="str">
        <f>'Simulado Final 1'!$D6/'Simulado Final 1'!$C6</f>
        <v>#DIV/0!</v>
      </c>
      <c r="F6" s="50"/>
      <c r="G6" s="64" t="s">
        <v>9</v>
      </c>
      <c r="H6" s="64">
        <v>0.0</v>
      </c>
      <c r="I6" s="64">
        <v>0.0</v>
      </c>
      <c r="J6" s="65" t="str">
        <f>'Simulado Final 1'!$I6/'Simulado Final 1'!$H6</f>
        <v>#DIV/0!</v>
      </c>
      <c r="K6" s="50"/>
      <c r="L6" s="64" t="s">
        <v>9</v>
      </c>
      <c r="M6" s="64">
        <v>0.0</v>
      </c>
      <c r="N6" s="64">
        <v>0.0</v>
      </c>
      <c r="O6" s="65" t="str">
        <f>'Simulado Final 1'!$N6/'Simulado Final 1'!$M6</f>
        <v>#DIV/0!</v>
      </c>
      <c r="P6" s="50"/>
      <c r="Q6" s="64" t="s">
        <v>9</v>
      </c>
      <c r="R6" s="64">
        <v>0.0</v>
      </c>
      <c r="S6" s="64">
        <v>0.0</v>
      </c>
      <c r="T6" s="65" t="str">
        <f>'Simulado Final 1'!$S6/'Simulado Final 1'!$R6</f>
        <v>#DIV/0!</v>
      </c>
      <c r="U6" s="50"/>
      <c r="V6" s="64" t="s">
        <v>9</v>
      </c>
      <c r="W6" s="64">
        <v>0.0</v>
      </c>
      <c r="X6" s="64">
        <v>0.0</v>
      </c>
      <c r="Y6" s="65" t="str">
        <f>'Simulado Final 1'!$X6/'Simulado Final 1'!$W6</f>
        <v>#DIV/0!</v>
      </c>
      <c r="AA6" s="64" t="s">
        <v>9</v>
      </c>
      <c r="AB6" s="64">
        <v>0.0</v>
      </c>
      <c r="AC6" s="64">
        <v>0.0</v>
      </c>
      <c r="AD6" s="65" t="str">
        <f>'Simulado Final 1'!$AC6/'Simulado Final 1'!$AB6</f>
        <v>#DIV/0!</v>
      </c>
      <c r="AE6" s="50"/>
      <c r="AF6" s="64" t="s">
        <v>9</v>
      </c>
      <c r="AG6" s="64">
        <v>0.0</v>
      </c>
      <c r="AH6" s="64">
        <v>0.0</v>
      </c>
      <c r="AI6" s="65" t="str">
        <f>'Simulado Final 1'!$AH6/'Simulado Final 1'!$AG6</f>
        <v>#DIV/0!</v>
      </c>
      <c r="AJ6" s="50"/>
    </row>
    <row r="7">
      <c r="B7" s="64" t="s">
        <v>10</v>
      </c>
      <c r="C7" s="64">
        <v>0.0</v>
      </c>
      <c r="D7" s="64">
        <v>0.0</v>
      </c>
      <c r="E7" s="65" t="str">
        <f>'Simulado Final 1'!$D7/'Simulado Final 1'!$C7</f>
        <v>#DIV/0!</v>
      </c>
      <c r="F7" s="50"/>
      <c r="G7" s="64" t="s">
        <v>10</v>
      </c>
      <c r="H7" s="64">
        <v>0.0</v>
      </c>
      <c r="I7" s="64">
        <v>0.0</v>
      </c>
      <c r="J7" s="65" t="str">
        <f>'Simulado Final 1'!$I7/'Simulado Final 1'!$H7</f>
        <v>#DIV/0!</v>
      </c>
      <c r="K7" s="50"/>
      <c r="L7" s="64" t="s">
        <v>10</v>
      </c>
      <c r="M7" s="64">
        <v>0.0</v>
      </c>
      <c r="N7" s="64">
        <v>0.0</v>
      </c>
      <c r="O7" s="65" t="str">
        <f>'Simulado Final 1'!$N7/'Simulado Final 1'!$M7</f>
        <v>#DIV/0!</v>
      </c>
      <c r="P7" s="50"/>
      <c r="Q7" s="64" t="s">
        <v>10</v>
      </c>
      <c r="R7" s="64">
        <v>0.0</v>
      </c>
      <c r="S7" s="64">
        <v>0.0</v>
      </c>
      <c r="T7" s="65" t="str">
        <f>'Simulado Final 1'!$S7/'Simulado Final 1'!$R7</f>
        <v>#DIV/0!</v>
      </c>
      <c r="U7" s="50"/>
      <c r="V7" s="64" t="s">
        <v>10</v>
      </c>
      <c r="W7" s="64">
        <v>0.0</v>
      </c>
      <c r="X7" s="64">
        <v>0.0</v>
      </c>
      <c r="Y7" s="65" t="str">
        <f>'Simulado Final 1'!$X7/'Simulado Final 1'!$W7</f>
        <v>#DIV/0!</v>
      </c>
      <c r="AA7" s="64" t="s">
        <v>10</v>
      </c>
      <c r="AB7" s="64">
        <v>0.0</v>
      </c>
      <c r="AC7" s="64">
        <v>0.0</v>
      </c>
      <c r="AD7" s="65" t="str">
        <f>'Simulado Final 1'!$AC7/'Simulado Final 1'!$AB7</f>
        <v>#DIV/0!</v>
      </c>
      <c r="AE7" s="50"/>
      <c r="AF7" s="64" t="s">
        <v>10</v>
      </c>
      <c r="AG7" s="64">
        <v>0.0</v>
      </c>
      <c r="AH7" s="64">
        <v>0.0</v>
      </c>
      <c r="AI7" s="65" t="str">
        <f>'Simulado Final 1'!$AH7/'Simulado Final 1'!$AG7</f>
        <v>#DIV/0!</v>
      </c>
      <c r="AJ7" s="50"/>
    </row>
    <row r="8">
      <c r="B8" s="64" t="s">
        <v>11</v>
      </c>
      <c r="C8" s="64">
        <v>0.0</v>
      </c>
      <c r="D8" s="64">
        <v>0.0</v>
      </c>
      <c r="E8" s="65" t="str">
        <f>'Simulado Final 1'!$D8/'Simulado Final 1'!$C8</f>
        <v>#DIV/0!</v>
      </c>
      <c r="F8" s="50"/>
      <c r="G8" s="64" t="s">
        <v>11</v>
      </c>
      <c r="H8" s="64">
        <v>0.0</v>
      </c>
      <c r="I8" s="64">
        <v>0.0</v>
      </c>
      <c r="J8" s="65" t="str">
        <f>'Simulado Final 1'!$I8/'Simulado Final 1'!$H8</f>
        <v>#DIV/0!</v>
      </c>
      <c r="K8" s="50"/>
      <c r="L8" s="64" t="s">
        <v>11</v>
      </c>
      <c r="M8" s="64">
        <v>0.0</v>
      </c>
      <c r="N8" s="64">
        <v>0.0</v>
      </c>
      <c r="O8" s="65" t="str">
        <f>'Simulado Final 1'!$N8/'Simulado Final 1'!$M8</f>
        <v>#DIV/0!</v>
      </c>
      <c r="P8" s="50"/>
      <c r="Q8" s="64" t="s">
        <v>11</v>
      </c>
      <c r="R8" s="64">
        <v>0.0</v>
      </c>
      <c r="S8" s="64">
        <v>0.0</v>
      </c>
      <c r="T8" s="65" t="str">
        <f>'Simulado Final 1'!$S8/'Simulado Final 1'!$R8</f>
        <v>#DIV/0!</v>
      </c>
      <c r="U8" s="50"/>
      <c r="V8" s="64" t="s">
        <v>11</v>
      </c>
      <c r="W8" s="64">
        <v>0.0</v>
      </c>
      <c r="X8" s="64">
        <v>0.0</v>
      </c>
      <c r="Y8" s="65" t="str">
        <f>'Simulado Final 1'!$X8/'Simulado Final 1'!$W8</f>
        <v>#DIV/0!</v>
      </c>
      <c r="AA8" s="64" t="s">
        <v>11</v>
      </c>
      <c r="AB8" s="64">
        <v>0.0</v>
      </c>
      <c r="AC8" s="64">
        <v>0.0</v>
      </c>
      <c r="AD8" s="65" t="str">
        <f>'Simulado Final 1'!$AC8/'Simulado Final 1'!$AB8</f>
        <v>#DIV/0!</v>
      </c>
      <c r="AE8" s="50"/>
      <c r="AF8" s="64" t="s">
        <v>11</v>
      </c>
      <c r="AG8" s="64">
        <v>0.0</v>
      </c>
      <c r="AH8" s="64">
        <v>0.0</v>
      </c>
      <c r="AI8" s="65" t="str">
        <f>'Simulado Final 1'!$AH8/'Simulado Final 1'!$AG8</f>
        <v>#DIV/0!</v>
      </c>
      <c r="AJ8" s="50"/>
    </row>
    <row r="9">
      <c r="B9" s="64" t="s">
        <v>12</v>
      </c>
      <c r="C9" s="64">
        <v>0.0</v>
      </c>
      <c r="D9" s="64">
        <v>0.0</v>
      </c>
      <c r="E9" s="65" t="str">
        <f>'Simulado Final 1'!$D9/'Simulado Final 1'!$C9</f>
        <v>#DIV/0!</v>
      </c>
      <c r="F9" s="50"/>
      <c r="G9" s="64" t="s">
        <v>12</v>
      </c>
      <c r="H9" s="64">
        <v>0.0</v>
      </c>
      <c r="I9" s="64">
        <v>0.0</v>
      </c>
      <c r="J9" s="65" t="str">
        <f>'Simulado Final 1'!$I9/'Simulado Final 1'!$H9</f>
        <v>#DIV/0!</v>
      </c>
      <c r="K9" s="50"/>
      <c r="L9" s="64" t="s">
        <v>12</v>
      </c>
      <c r="M9" s="64">
        <v>0.0</v>
      </c>
      <c r="N9" s="64">
        <v>0.0</v>
      </c>
      <c r="O9" s="65" t="str">
        <f>'Simulado Final 1'!$N9/'Simulado Final 1'!$M9</f>
        <v>#DIV/0!</v>
      </c>
      <c r="P9" s="50"/>
      <c r="Q9" s="64" t="s">
        <v>12</v>
      </c>
      <c r="R9" s="64">
        <v>0.0</v>
      </c>
      <c r="S9" s="64">
        <v>0.0</v>
      </c>
      <c r="T9" s="65" t="str">
        <f>'Simulado Final 1'!$S9/'Simulado Final 1'!$R9</f>
        <v>#DIV/0!</v>
      </c>
      <c r="U9" s="50"/>
      <c r="V9" s="64" t="s">
        <v>12</v>
      </c>
      <c r="W9" s="64">
        <v>0.0</v>
      </c>
      <c r="X9" s="64">
        <v>0.0</v>
      </c>
      <c r="Y9" s="65" t="str">
        <f>'Simulado Final 1'!$X9/'Simulado Final 1'!$W9</f>
        <v>#DIV/0!</v>
      </c>
      <c r="AA9" s="64" t="s">
        <v>12</v>
      </c>
      <c r="AB9" s="64">
        <v>0.0</v>
      </c>
      <c r="AC9" s="64">
        <v>0.0</v>
      </c>
      <c r="AD9" s="65" t="str">
        <f>'Simulado Final 1'!$AC9/'Simulado Final 1'!$AB9</f>
        <v>#DIV/0!</v>
      </c>
      <c r="AE9" s="50"/>
      <c r="AF9" s="64" t="s">
        <v>12</v>
      </c>
      <c r="AG9" s="64">
        <v>0.0</v>
      </c>
      <c r="AH9" s="64">
        <v>0.0</v>
      </c>
      <c r="AI9" s="65" t="str">
        <f>'Simulado Final 1'!$AH9/'Simulado Final 1'!$AG9</f>
        <v>#DIV/0!</v>
      </c>
      <c r="AJ9" s="50"/>
    </row>
    <row r="10">
      <c r="B10" s="64" t="s">
        <v>13</v>
      </c>
      <c r="C10" s="64">
        <v>0.0</v>
      </c>
      <c r="D10" s="64">
        <v>0.0</v>
      </c>
      <c r="E10" s="65" t="str">
        <f>'Simulado Final 1'!$D10/'Simulado Final 1'!$C10</f>
        <v>#DIV/0!</v>
      </c>
      <c r="F10" s="50"/>
      <c r="G10" s="64" t="s">
        <v>13</v>
      </c>
      <c r="H10" s="64">
        <v>0.0</v>
      </c>
      <c r="I10" s="64">
        <v>0.0</v>
      </c>
      <c r="J10" s="65" t="str">
        <f>'Simulado Final 1'!$I10/'Simulado Final 1'!$H10</f>
        <v>#DIV/0!</v>
      </c>
      <c r="K10" s="50"/>
      <c r="L10" s="64" t="s">
        <v>13</v>
      </c>
      <c r="M10" s="64">
        <v>0.0</v>
      </c>
      <c r="N10" s="64">
        <v>0.0</v>
      </c>
      <c r="O10" s="65" t="str">
        <f>'Simulado Final 1'!$N10/'Simulado Final 1'!$M10</f>
        <v>#DIV/0!</v>
      </c>
      <c r="P10" s="50"/>
      <c r="Q10" s="64" t="s">
        <v>13</v>
      </c>
      <c r="R10" s="64">
        <v>0.0</v>
      </c>
      <c r="S10" s="64">
        <v>0.0</v>
      </c>
      <c r="T10" s="65" t="str">
        <f>'Simulado Final 1'!$S10/'Simulado Final 1'!$R10</f>
        <v>#DIV/0!</v>
      </c>
      <c r="U10" s="50"/>
      <c r="V10" s="64" t="s">
        <v>13</v>
      </c>
      <c r="W10" s="64">
        <v>0.0</v>
      </c>
      <c r="X10" s="64">
        <v>0.0</v>
      </c>
      <c r="Y10" s="65" t="str">
        <f>'Simulado Final 1'!$X10/'Simulado Final 1'!$W10</f>
        <v>#DIV/0!</v>
      </c>
      <c r="AA10" s="64" t="s">
        <v>13</v>
      </c>
      <c r="AB10" s="64">
        <v>0.0</v>
      </c>
      <c r="AC10" s="64">
        <v>0.0</v>
      </c>
      <c r="AD10" s="65" t="str">
        <f>'Simulado Final 1'!$AC10/'Simulado Final 1'!$AB10</f>
        <v>#DIV/0!</v>
      </c>
      <c r="AE10" s="50"/>
      <c r="AF10" s="64" t="s">
        <v>13</v>
      </c>
      <c r="AG10" s="64">
        <v>0.0</v>
      </c>
      <c r="AH10" s="64">
        <v>0.0</v>
      </c>
      <c r="AI10" s="65" t="str">
        <f>'Simulado Final 1'!$AH10/'Simulado Final 1'!$AG10</f>
        <v>#DIV/0!</v>
      </c>
      <c r="AJ10" s="50"/>
    </row>
    <row r="11">
      <c r="B11" s="64" t="s">
        <v>14</v>
      </c>
      <c r="C11" s="64">
        <v>0.0</v>
      </c>
      <c r="D11" s="64">
        <v>0.0</v>
      </c>
      <c r="E11" s="65" t="str">
        <f>'Simulado Final 1'!$D11/'Simulado Final 1'!$C11</f>
        <v>#DIV/0!</v>
      </c>
      <c r="F11" s="50"/>
      <c r="G11" s="64" t="s">
        <v>14</v>
      </c>
      <c r="H11" s="64">
        <v>0.0</v>
      </c>
      <c r="I11" s="64">
        <v>0.0</v>
      </c>
      <c r="J11" s="65" t="str">
        <f>'Simulado Final 1'!$I11/'Simulado Final 1'!$H11</f>
        <v>#DIV/0!</v>
      </c>
      <c r="K11" s="50"/>
      <c r="L11" s="64" t="s">
        <v>14</v>
      </c>
      <c r="M11" s="64">
        <v>0.0</v>
      </c>
      <c r="N11" s="64">
        <v>0.0</v>
      </c>
      <c r="O11" s="65" t="str">
        <f>'Simulado Final 1'!$N11/'Simulado Final 1'!$M11</f>
        <v>#DIV/0!</v>
      </c>
      <c r="P11" s="50"/>
      <c r="Q11" s="64" t="s">
        <v>14</v>
      </c>
      <c r="R11" s="64">
        <v>0.0</v>
      </c>
      <c r="S11" s="64">
        <v>0.0</v>
      </c>
      <c r="T11" s="65" t="str">
        <f>'Simulado Final 1'!$S11/'Simulado Final 1'!$R11</f>
        <v>#DIV/0!</v>
      </c>
      <c r="U11" s="50"/>
      <c r="V11" s="64" t="s">
        <v>14</v>
      </c>
      <c r="W11" s="64">
        <v>0.0</v>
      </c>
      <c r="X11" s="64">
        <v>0.0</v>
      </c>
      <c r="Y11" s="65" t="str">
        <f>'Simulado Final 1'!$X11/'Simulado Final 1'!$W11</f>
        <v>#DIV/0!</v>
      </c>
      <c r="AA11" s="64" t="s">
        <v>14</v>
      </c>
      <c r="AB11" s="64">
        <v>0.0</v>
      </c>
      <c r="AC11" s="64">
        <v>0.0</v>
      </c>
      <c r="AD11" s="65" t="str">
        <f>'Simulado Final 1'!$AC11/'Simulado Final 1'!$AB11</f>
        <v>#DIV/0!</v>
      </c>
      <c r="AE11" s="50"/>
      <c r="AF11" s="64" t="s">
        <v>14</v>
      </c>
      <c r="AG11" s="64">
        <v>0.0</v>
      </c>
      <c r="AH11" s="64">
        <v>0.0</v>
      </c>
      <c r="AI11" s="65" t="str">
        <f>'Simulado Final 1'!$AH11/'Simulado Final 1'!$AG11</f>
        <v>#DIV/0!</v>
      </c>
      <c r="AJ11" s="50"/>
    </row>
    <row r="12">
      <c r="B12" s="64" t="s">
        <v>15</v>
      </c>
      <c r="C12" s="64">
        <v>0.0</v>
      </c>
      <c r="D12" s="64">
        <v>0.0</v>
      </c>
      <c r="E12" s="65" t="str">
        <f>'Simulado Final 1'!$D12/'Simulado Final 1'!$C12</f>
        <v>#DIV/0!</v>
      </c>
      <c r="F12" s="50"/>
      <c r="G12" s="64" t="s">
        <v>15</v>
      </c>
      <c r="H12" s="64">
        <v>0.0</v>
      </c>
      <c r="I12" s="64">
        <v>0.0</v>
      </c>
      <c r="J12" s="65" t="str">
        <f>'Simulado Final 1'!$I12/'Simulado Final 1'!$H12</f>
        <v>#DIV/0!</v>
      </c>
      <c r="K12" s="50"/>
      <c r="L12" s="64" t="s">
        <v>15</v>
      </c>
      <c r="M12" s="64">
        <v>0.0</v>
      </c>
      <c r="N12" s="64">
        <v>0.0</v>
      </c>
      <c r="O12" s="65" t="str">
        <f>'Simulado Final 1'!$N12/'Simulado Final 1'!$M12</f>
        <v>#DIV/0!</v>
      </c>
      <c r="P12" s="50"/>
      <c r="Q12" s="64" t="s">
        <v>15</v>
      </c>
      <c r="R12" s="64">
        <v>0.0</v>
      </c>
      <c r="S12" s="64">
        <v>0.0</v>
      </c>
      <c r="T12" s="65" t="str">
        <f>'Simulado Final 1'!$S12/'Simulado Final 1'!$R12</f>
        <v>#DIV/0!</v>
      </c>
      <c r="U12" s="50"/>
      <c r="V12" s="64" t="s">
        <v>15</v>
      </c>
      <c r="W12" s="64">
        <v>0.0</v>
      </c>
      <c r="X12" s="64">
        <v>0.0</v>
      </c>
      <c r="Y12" s="65" t="str">
        <f>'Simulado Final 1'!$X12/'Simulado Final 1'!$W12</f>
        <v>#DIV/0!</v>
      </c>
      <c r="AA12" s="64" t="s">
        <v>15</v>
      </c>
      <c r="AB12" s="64">
        <v>0.0</v>
      </c>
      <c r="AC12" s="64">
        <v>0.0</v>
      </c>
      <c r="AD12" s="65" t="str">
        <f>'Simulado Final 1'!$AC12/'Simulado Final 1'!$AB12</f>
        <v>#DIV/0!</v>
      </c>
      <c r="AE12" s="50"/>
      <c r="AF12" s="64" t="s">
        <v>15</v>
      </c>
      <c r="AG12" s="64">
        <v>0.0</v>
      </c>
      <c r="AH12" s="64">
        <v>0.0</v>
      </c>
      <c r="AI12" s="65" t="str">
        <f>'Simulado Final 1'!$AH12/'Simulado Final 1'!$AG12</f>
        <v>#DIV/0!</v>
      </c>
      <c r="AJ12" s="50"/>
    </row>
    <row r="13">
      <c r="B13" s="64" t="s">
        <v>16</v>
      </c>
      <c r="C13" s="64">
        <v>0.0</v>
      </c>
      <c r="D13" s="64">
        <v>0.0</v>
      </c>
      <c r="E13" s="65" t="str">
        <f>'Simulado Final 1'!$D13/'Simulado Final 1'!$C13</f>
        <v>#DIV/0!</v>
      </c>
      <c r="F13" s="50"/>
      <c r="G13" s="64" t="s">
        <v>16</v>
      </c>
      <c r="H13" s="64">
        <v>0.0</v>
      </c>
      <c r="I13" s="64">
        <v>0.0</v>
      </c>
      <c r="J13" s="65" t="str">
        <f>'Simulado Final 1'!$I13/'Simulado Final 1'!$H13</f>
        <v>#DIV/0!</v>
      </c>
      <c r="K13" s="50"/>
      <c r="L13" s="64" t="s">
        <v>16</v>
      </c>
      <c r="M13" s="64">
        <v>0.0</v>
      </c>
      <c r="N13" s="64">
        <v>0.0</v>
      </c>
      <c r="O13" s="65" t="str">
        <f>'Simulado Final 1'!$N13/'Simulado Final 1'!$M13</f>
        <v>#DIV/0!</v>
      </c>
      <c r="P13" s="50"/>
      <c r="Q13" s="64" t="s">
        <v>16</v>
      </c>
      <c r="R13" s="64">
        <v>0.0</v>
      </c>
      <c r="S13" s="64">
        <v>0.0</v>
      </c>
      <c r="T13" s="65" t="str">
        <f>'Simulado Final 1'!$S13/'Simulado Final 1'!$R13</f>
        <v>#DIV/0!</v>
      </c>
      <c r="U13" s="50"/>
      <c r="V13" s="64" t="s">
        <v>16</v>
      </c>
      <c r="W13" s="64">
        <v>0.0</v>
      </c>
      <c r="X13" s="64">
        <v>0.0</v>
      </c>
      <c r="Y13" s="65" t="str">
        <f>'Simulado Final 1'!$X13/'Simulado Final 1'!$W13</f>
        <v>#DIV/0!</v>
      </c>
      <c r="AA13" s="64" t="s">
        <v>16</v>
      </c>
      <c r="AB13" s="64">
        <v>0.0</v>
      </c>
      <c r="AC13" s="64">
        <v>0.0</v>
      </c>
      <c r="AD13" s="65" t="str">
        <f>'Simulado Final 1'!$AC13/'Simulado Final 1'!$AB13</f>
        <v>#DIV/0!</v>
      </c>
      <c r="AE13" s="50"/>
      <c r="AF13" s="64" t="s">
        <v>16</v>
      </c>
      <c r="AG13" s="64">
        <v>0.0</v>
      </c>
      <c r="AH13" s="64">
        <v>0.0</v>
      </c>
      <c r="AI13" s="65" t="str">
        <f>'Simulado Final 1'!$AH13/'Simulado Final 1'!$AG13</f>
        <v>#DIV/0!</v>
      </c>
      <c r="AJ13" s="50"/>
    </row>
    <row r="14">
      <c r="B14" s="64" t="s">
        <v>17</v>
      </c>
      <c r="C14" s="64">
        <v>0.0</v>
      </c>
      <c r="D14" s="64">
        <v>0.0</v>
      </c>
      <c r="E14" s="65" t="str">
        <f>'Simulado Final 1'!$D14/'Simulado Final 1'!$C14</f>
        <v>#DIV/0!</v>
      </c>
      <c r="F14" s="50"/>
      <c r="G14" s="64" t="s">
        <v>17</v>
      </c>
      <c r="H14" s="64">
        <v>0.0</v>
      </c>
      <c r="I14" s="64">
        <v>0.0</v>
      </c>
      <c r="J14" s="65" t="str">
        <f>'Simulado Final 1'!$I14/'Simulado Final 1'!$H14</f>
        <v>#DIV/0!</v>
      </c>
      <c r="K14" s="50"/>
      <c r="L14" s="64" t="s">
        <v>17</v>
      </c>
      <c r="M14" s="64">
        <v>0.0</v>
      </c>
      <c r="N14" s="64">
        <v>0.0</v>
      </c>
      <c r="O14" s="65" t="str">
        <f>'Simulado Final 1'!$N14/'Simulado Final 1'!$M14</f>
        <v>#DIV/0!</v>
      </c>
      <c r="P14" s="50"/>
      <c r="Q14" s="64" t="s">
        <v>17</v>
      </c>
      <c r="R14" s="64">
        <v>0.0</v>
      </c>
      <c r="S14" s="64">
        <v>0.0</v>
      </c>
      <c r="T14" s="65" t="str">
        <f>'Simulado Final 1'!$S14/'Simulado Final 1'!$R14</f>
        <v>#DIV/0!</v>
      </c>
      <c r="U14" s="50"/>
      <c r="V14" s="64" t="s">
        <v>17</v>
      </c>
      <c r="W14" s="64">
        <v>0.0</v>
      </c>
      <c r="X14" s="64">
        <v>0.0</v>
      </c>
      <c r="Y14" s="65" t="str">
        <f>'Simulado Final 1'!$X14/'Simulado Final 1'!$W14</f>
        <v>#DIV/0!</v>
      </c>
      <c r="AA14" s="64" t="s">
        <v>17</v>
      </c>
      <c r="AB14" s="64">
        <v>0.0</v>
      </c>
      <c r="AC14" s="64">
        <v>0.0</v>
      </c>
      <c r="AD14" s="65" t="str">
        <f>'Simulado Final 1'!$AC14/'Simulado Final 1'!$AB14</f>
        <v>#DIV/0!</v>
      </c>
      <c r="AE14" s="50"/>
      <c r="AF14" s="64" t="s">
        <v>17</v>
      </c>
      <c r="AG14" s="64">
        <v>0.0</v>
      </c>
      <c r="AH14" s="64">
        <v>0.0</v>
      </c>
      <c r="AI14" s="65" t="str">
        <f>'Simulado Final 1'!$AH14/'Simulado Final 1'!$AG14</f>
        <v>#DIV/0!</v>
      </c>
      <c r="AJ14" s="50"/>
    </row>
    <row r="15">
      <c r="B15" s="64" t="s">
        <v>18</v>
      </c>
      <c r="C15" s="64">
        <v>0.0</v>
      </c>
      <c r="D15" s="64">
        <v>0.0</v>
      </c>
      <c r="E15" s="65" t="str">
        <f>'Simulado Final 1'!$D15/'Simulado Final 1'!$C15</f>
        <v>#DIV/0!</v>
      </c>
      <c r="F15" s="50"/>
      <c r="G15" s="64" t="s">
        <v>18</v>
      </c>
      <c r="H15" s="64">
        <v>0.0</v>
      </c>
      <c r="I15" s="64">
        <v>0.0</v>
      </c>
      <c r="J15" s="65" t="str">
        <f>'Simulado Final 1'!$I15/'Simulado Final 1'!$H15</f>
        <v>#DIV/0!</v>
      </c>
      <c r="K15" s="50"/>
      <c r="L15" s="64" t="s">
        <v>18</v>
      </c>
      <c r="M15" s="64">
        <v>0.0</v>
      </c>
      <c r="N15" s="64">
        <v>0.0</v>
      </c>
      <c r="O15" s="65" t="str">
        <f>'Simulado Final 1'!$N15/'Simulado Final 1'!$M15</f>
        <v>#DIV/0!</v>
      </c>
      <c r="P15" s="50"/>
      <c r="Q15" s="64" t="s">
        <v>18</v>
      </c>
      <c r="R15" s="64">
        <v>0.0</v>
      </c>
      <c r="S15" s="64">
        <v>0.0</v>
      </c>
      <c r="T15" s="65" t="str">
        <f>'Simulado Final 1'!$S15/'Simulado Final 1'!$R15</f>
        <v>#DIV/0!</v>
      </c>
      <c r="U15" s="50"/>
      <c r="V15" s="64" t="s">
        <v>18</v>
      </c>
      <c r="W15" s="64">
        <v>0.0</v>
      </c>
      <c r="X15" s="64">
        <v>0.0</v>
      </c>
      <c r="Y15" s="65" t="str">
        <f>'Simulado Final 1'!$X15/'Simulado Final 1'!$W15</f>
        <v>#DIV/0!</v>
      </c>
      <c r="AA15" s="64" t="s">
        <v>18</v>
      </c>
      <c r="AB15" s="64">
        <v>0.0</v>
      </c>
      <c r="AC15" s="64">
        <v>0.0</v>
      </c>
      <c r="AD15" s="65" t="str">
        <f>'Simulado Final 1'!$AC15/'Simulado Final 1'!$AB15</f>
        <v>#DIV/0!</v>
      </c>
      <c r="AE15" s="50"/>
      <c r="AF15" s="64" t="s">
        <v>18</v>
      </c>
      <c r="AG15" s="64">
        <v>0.0</v>
      </c>
      <c r="AH15" s="64">
        <v>0.0</v>
      </c>
      <c r="AI15" s="65" t="str">
        <f>'Simulado Final 1'!$AH15/'Simulado Final 1'!$AG15</f>
        <v>#DIV/0!</v>
      </c>
      <c r="AJ15" s="50"/>
    </row>
    <row r="16">
      <c r="B16" s="64" t="s">
        <v>19</v>
      </c>
      <c r="C16" s="64">
        <v>0.0</v>
      </c>
      <c r="D16" s="64">
        <v>0.0</v>
      </c>
      <c r="E16" s="65" t="str">
        <f>'Simulado Final 1'!$D16/'Simulado Final 1'!$C16</f>
        <v>#DIV/0!</v>
      </c>
      <c r="F16" s="50"/>
      <c r="G16" s="64" t="s">
        <v>19</v>
      </c>
      <c r="H16" s="64">
        <v>0.0</v>
      </c>
      <c r="I16" s="64">
        <v>0.0</v>
      </c>
      <c r="J16" s="65" t="str">
        <f>'Simulado Final 1'!$I16/'Simulado Final 1'!$H16</f>
        <v>#DIV/0!</v>
      </c>
      <c r="K16" s="50"/>
      <c r="L16" s="64" t="s">
        <v>19</v>
      </c>
      <c r="M16" s="64">
        <v>0.0</v>
      </c>
      <c r="N16" s="64">
        <v>0.0</v>
      </c>
      <c r="O16" s="65" t="str">
        <f>'Simulado Final 1'!$N16/'Simulado Final 1'!$M16</f>
        <v>#DIV/0!</v>
      </c>
      <c r="P16" s="50"/>
      <c r="Q16" s="64" t="s">
        <v>19</v>
      </c>
      <c r="R16" s="64">
        <v>0.0</v>
      </c>
      <c r="S16" s="64">
        <v>0.0</v>
      </c>
      <c r="T16" s="65" t="str">
        <f>'Simulado Final 1'!$S16/'Simulado Final 1'!$R16</f>
        <v>#DIV/0!</v>
      </c>
      <c r="U16" s="50"/>
      <c r="V16" s="64" t="s">
        <v>19</v>
      </c>
      <c r="W16" s="64">
        <v>0.0</v>
      </c>
      <c r="X16" s="64">
        <v>0.0</v>
      </c>
      <c r="Y16" s="65" t="str">
        <f>'Simulado Final 1'!$X16/'Simulado Final 1'!$W16</f>
        <v>#DIV/0!</v>
      </c>
      <c r="AA16" s="64" t="s">
        <v>19</v>
      </c>
      <c r="AB16" s="64">
        <v>0.0</v>
      </c>
      <c r="AC16" s="64">
        <v>0.0</v>
      </c>
      <c r="AD16" s="65" t="str">
        <f>'Simulado Final 1'!$AC16/'Simulado Final 1'!$AB16</f>
        <v>#DIV/0!</v>
      </c>
      <c r="AE16" s="50"/>
      <c r="AF16" s="64" t="s">
        <v>19</v>
      </c>
      <c r="AG16" s="64">
        <v>0.0</v>
      </c>
      <c r="AH16" s="64">
        <v>0.0</v>
      </c>
      <c r="AI16" s="65" t="str">
        <f>'Simulado Final 1'!$AH16/'Simulado Final 1'!$AG16</f>
        <v>#DIV/0!</v>
      </c>
      <c r="AJ16" s="50"/>
    </row>
    <row r="17">
      <c r="B17" s="64" t="s">
        <v>20</v>
      </c>
      <c r="C17" s="64">
        <v>0.0</v>
      </c>
      <c r="D17" s="64">
        <v>0.0</v>
      </c>
      <c r="E17" s="65" t="str">
        <f>'Simulado Final 1'!$D17/'Simulado Final 1'!$C17</f>
        <v>#DIV/0!</v>
      </c>
      <c r="F17" s="50"/>
      <c r="G17" s="64" t="s">
        <v>20</v>
      </c>
      <c r="H17" s="64">
        <v>0.0</v>
      </c>
      <c r="I17" s="64">
        <v>0.0</v>
      </c>
      <c r="J17" s="65" t="str">
        <f>'Simulado Final 1'!$I17/'Simulado Final 1'!$H17</f>
        <v>#DIV/0!</v>
      </c>
      <c r="K17" s="50"/>
      <c r="L17" s="64" t="s">
        <v>20</v>
      </c>
      <c r="M17" s="64">
        <v>0.0</v>
      </c>
      <c r="N17" s="64">
        <v>0.0</v>
      </c>
      <c r="O17" s="65" t="str">
        <f>'Simulado Final 1'!$N17/'Simulado Final 1'!$M17</f>
        <v>#DIV/0!</v>
      </c>
      <c r="P17" s="50"/>
      <c r="Q17" s="64" t="s">
        <v>20</v>
      </c>
      <c r="R17" s="64">
        <v>0.0</v>
      </c>
      <c r="S17" s="64">
        <v>0.0</v>
      </c>
      <c r="T17" s="65" t="str">
        <f>'Simulado Final 1'!$S17/'Simulado Final 1'!$R17</f>
        <v>#DIV/0!</v>
      </c>
      <c r="U17" s="50"/>
      <c r="V17" s="64" t="s">
        <v>20</v>
      </c>
      <c r="W17" s="64">
        <v>0.0</v>
      </c>
      <c r="X17" s="64">
        <v>0.0</v>
      </c>
      <c r="Y17" s="65" t="str">
        <f>'Simulado Final 1'!$X17/'Simulado Final 1'!$W17</f>
        <v>#DIV/0!</v>
      </c>
      <c r="AA17" s="64" t="s">
        <v>20</v>
      </c>
      <c r="AB17" s="64">
        <v>0.0</v>
      </c>
      <c r="AC17" s="64">
        <v>0.0</v>
      </c>
      <c r="AD17" s="65" t="str">
        <f>'Simulado Final 1'!$AC17/'Simulado Final 1'!$AB17</f>
        <v>#DIV/0!</v>
      </c>
      <c r="AE17" s="50"/>
      <c r="AF17" s="64" t="s">
        <v>20</v>
      </c>
      <c r="AG17" s="64">
        <v>0.0</v>
      </c>
      <c r="AH17" s="64">
        <v>0.0</v>
      </c>
      <c r="AI17" s="65" t="str">
        <f>'Simulado Final 1'!$AH17/'Simulado Final 1'!$AG17</f>
        <v>#DIV/0!</v>
      </c>
      <c r="AJ17" s="50"/>
    </row>
    <row r="18">
      <c r="B18" s="64" t="s">
        <v>21</v>
      </c>
      <c r="C18" s="64">
        <v>0.0</v>
      </c>
      <c r="D18" s="64">
        <v>0.0</v>
      </c>
      <c r="E18" s="65" t="str">
        <f>'Simulado Final 1'!$D18/'Simulado Final 1'!$C18</f>
        <v>#DIV/0!</v>
      </c>
      <c r="F18" s="50"/>
      <c r="G18" s="64" t="s">
        <v>21</v>
      </c>
      <c r="H18" s="64">
        <v>0.0</v>
      </c>
      <c r="I18" s="64">
        <v>0.0</v>
      </c>
      <c r="J18" s="65" t="str">
        <f>'Simulado Final 1'!$I18/'Simulado Final 1'!$H18</f>
        <v>#DIV/0!</v>
      </c>
      <c r="K18" s="50"/>
      <c r="L18" s="64" t="s">
        <v>21</v>
      </c>
      <c r="M18" s="64">
        <v>0.0</v>
      </c>
      <c r="N18" s="64">
        <v>0.0</v>
      </c>
      <c r="O18" s="65" t="str">
        <f>'Simulado Final 1'!$N18/'Simulado Final 1'!$M18</f>
        <v>#DIV/0!</v>
      </c>
      <c r="P18" s="50"/>
      <c r="Q18" s="64" t="s">
        <v>21</v>
      </c>
      <c r="R18" s="64">
        <v>0.0</v>
      </c>
      <c r="S18" s="64">
        <v>0.0</v>
      </c>
      <c r="T18" s="65" t="str">
        <f>'Simulado Final 1'!$S18/'Simulado Final 1'!$R18</f>
        <v>#DIV/0!</v>
      </c>
      <c r="U18" s="50"/>
      <c r="V18" s="64" t="s">
        <v>21</v>
      </c>
      <c r="W18" s="64">
        <v>0.0</v>
      </c>
      <c r="X18" s="64">
        <v>0.0</v>
      </c>
      <c r="Y18" s="65" t="str">
        <f>'Simulado Final 1'!$X18/'Simulado Final 1'!$W18</f>
        <v>#DIV/0!</v>
      </c>
      <c r="AA18" s="64" t="s">
        <v>21</v>
      </c>
      <c r="AB18" s="64">
        <v>0.0</v>
      </c>
      <c r="AC18" s="64">
        <v>0.0</v>
      </c>
      <c r="AD18" s="65" t="str">
        <f>'Simulado Final 1'!$AC18/'Simulado Final 1'!$AB18</f>
        <v>#DIV/0!</v>
      </c>
      <c r="AE18" s="50"/>
      <c r="AF18" s="64" t="s">
        <v>21</v>
      </c>
      <c r="AG18" s="64">
        <v>0.0</v>
      </c>
      <c r="AH18" s="64">
        <v>0.0</v>
      </c>
      <c r="AI18" s="65" t="str">
        <f>'Simulado Final 1'!$AH18/'Simulado Final 1'!$AG18</f>
        <v>#DIV/0!</v>
      </c>
      <c r="AJ18" s="50"/>
    </row>
    <row r="19">
      <c r="B19" s="64" t="s">
        <v>22</v>
      </c>
      <c r="C19" s="64">
        <v>0.0</v>
      </c>
      <c r="D19" s="64">
        <v>0.0</v>
      </c>
      <c r="E19" s="65" t="str">
        <f>'Simulado Final 1'!$D19/'Simulado Final 1'!$C19</f>
        <v>#DIV/0!</v>
      </c>
      <c r="F19" s="50"/>
      <c r="G19" s="64" t="s">
        <v>22</v>
      </c>
      <c r="H19" s="64">
        <v>0.0</v>
      </c>
      <c r="I19" s="64">
        <v>0.0</v>
      </c>
      <c r="J19" s="65" t="str">
        <f>'Simulado Final 1'!$I19/'Simulado Final 1'!$H19</f>
        <v>#DIV/0!</v>
      </c>
      <c r="K19" s="50"/>
      <c r="L19" s="64" t="s">
        <v>22</v>
      </c>
      <c r="M19" s="64">
        <v>0.0</v>
      </c>
      <c r="N19" s="64">
        <v>0.0</v>
      </c>
      <c r="O19" s="65" t="str">
        <f>'Simulado Final 1'!$N19/'Simulado Final 1'!$M19</f>
        <v>#DIV/0!</v>
      </c>
      <c r="P19" s="50"/>
      <c r="Q19" s="64" t="s">
        <v>22</v>
      </c>
      <c r="R19" s="64">
        <v>0.0</v>
      </c>
      <c r="S19" s="64">
        <v>0.0</v>
      </c>
      <c r="T19" s="65" t="str">
        <f>'Simulado Final 1'!$S19/'Simulado Final 1'!$R19</f>
        <v>#DIV/0!</v>
      </c>
      <c r="U19" s="50"/>
      <c r="V19" s="64" t="s">
        <v>22</v>
      </c>
      <c r="W19" s="64">
        <v>0.0</v>
      </c>
      <c r="X19" s="64">
        <v>0.0</v>
      </c>
      <c r="Y19" s="65" t="str">
        <f>'Simulado Final 1'!$X19/'Simulado Final 1'!$W19</f>
        <v>#DIV/0!</v>
      </c>
      <c r="AA19" s="64" t="s">
        <v>22</v>
      </c>
      <c r="AB19" s="64">
        <v>0.0</v>
      </c>
      <c r="AC19" s="64">
        <v>0.0</v>
      </c>
      <c r="AD19" s="65" t="str">
        <f>'Simulado Final 1'!$AC19/'Simulado Final 1'!$AB19</f>
        <v>#DIV/0!</v>
      </c>
      <c r="AE19" s="50"/>
      <c r="AF19" s="64" t="s">
        <v>22</v>
      </c>
      <c r="AG19" s="64">
        <v>0.0</v>
      </c>
      <c r="AH19" s="64">
        <v>0.0</v>
      </c>
      <c r="AI19" s="65" t="str">
        <f>'Simulado Final 1'!$AH19/'Simulado Final 1'!$AG19</f>
        <v>#DIV/0!</v>
      </c>
      <c r="AJ19" s="50"/>
    </row>
    <row r="20">
      <c r="B20" s="64" t="s">
        <v>23</v>
      </c>
      <c r="C20" s="64">
        <v>0.0</v>
      </c>
      <c r="D20" s="64">
        <v>0.0</v>
      </c>
      <c r="E20" s="65" t="str">
        <f>'Simulado Final 1'!$D20/'Simulado Final 1'!$C20</f>
        <v>#DIV/0!</v>
      </c>
      <c r="F20" s="50"/>
      <c r="G20" s="64" t="s">
        <v>23</v>
      </c>
      <c r="H20" s="64">
        <v>0.0</v>
      </c>
      <c r="I20" s="64">
        <v>0.0</v>
      </c>
      <c r="J20" s="65" t="str">
        <f>'Simulado Final 1'!$I20/'Simulado Final 1'!$H20</f>
        <v>#DIV/0!</v>
      </c>
      <c r="K20" s="50"/>
      <c r="L20" s="64" t="s">
        <v>23</v>
      </c>
      <c r="M20" s="64">
        <v>0.0</v>
      </c>
      <c r="N20" s="64">
        <v>0.0</v>
      </c>
      <c r="O20" s="65" t="str">
        <f>'Simulado Final 1'!$N20/'Simulado Final 1'!$M20</f>
        <v>#DIV/0!</v>
      </c>
      <c r="P20" s="50"/>
      <c r="Q20" s="64" t="s">
        <v>23</v>
      </c>
      <c r="R20" s="64">
        <v>0.0</v>
      </c>
      <c r="S20" s="64">
        <v>0.0</v>
      </c>
      <c r="T20" s="65" t="str">
        <f>'Simulado Final 1'!$S20/'Simulado Final 1'!$R20</f>
        <v>#DIV/0!</v>
      </c>
      <c r="U20" s="50"/>
      <c r="V20" s="64" t="s">
        <v>23</v>
      </c>
      <c r="W20" s="64">
        <v>0.0</v>
      </c>
      <c r="X20" s="64">
        <v>0.0</v>
      </c>
      <c r="Y20" s="65" t="str">
        <f>'Simulado Final 1'!$X20/'Simulado Final 1'!$W20</f>
        <v>#DIV/0!</v>
      </c>
      <c r="AA20" s="64" t="s">
        <v>23</v>
      </c>
      <c r="AB20" s="64">
        <v>0.0</v>
      </c>
      <c r="AC20" s="64">
        <v>0.0</v>
      </c>
      <c r="AD20" s="65" t="str">
        <f>'Simulado Final 1'!$AC20/'Simulado Final 1'!$AB20</f>
        <v>#DIV/0!</v>
      </c>
      <c r="AE20" s="50"/>
      <c r="AF20" s="64" t="s">
        <v>23</v>
      </c>
      <c r="AG20" s="64">
        <v>0.0</v>
      </c>
      <c r="AH20" s="64">
        <v>0.0</v>
      </c>
      <c r="AI20" s="65" t="str">
        <f>'Simulado Final 1'!$AH20/'Simulado Final 1'!$AG20</f>
        <v>#DIV/0!</v>
      </c>
      <c r="AJ20" s="50"/>
    </row>
    <row r="21" ht="15.75" customHeight="1">
      <c r="B21" s="64" t="s">
        <v>24</v>
      </c>
      <c r="C21" s="64">
        <v>0.0</v>
      </c>
      <c r="D21" s="64">
        <v>0.0</v>
      </c>
      <c r="E21" s="65" t="str">
        <f>'Simulado Final 1'!$D21/'Simulado Final 1'!$C21</f>
        <v>#DIV/0!</v>
      </c>
      <c r="F21" s="50"/>
      <c r="G21" s="64" t="s">
        <v>24</v>
      </c>
      <c r="H21" s="64">
        <v>0.0</v>
      </c>
      <c r="I21" s="64">
        <v>0.0</v>
      </c>
      <c r="J21" s="65" t="str">
        <f>'Simulado Final 1'!$I21/'Simulado Final 1'!$H21</f>
        <v>#DIV/0!</v>
      </c>
      <c r="K21" s="50"/>
      <c r="L21" s="64" t="s">
        <v>24</v>
      </c>
      <c r="M21" s="64">
        <v>0.0</v>
      </c>
      <c r="N21" s="64">
        <v>0.0</v>
      </c>
      <c r="O21" s="65" t="str">
        <f>'Simulado Final 1'!$N21/'Simulado Final 1'!$M21</f>
        <v>#DIV/0!</v>
      </c>
      <c r="P21" s="50"/>
      <c r="Q21" s="64" t="s">
        <v>24</v>
      </c>
      <c r="R21" s="64">
        <v>0.0</v>
      </c>
      <c r="S21" s="64">
        <v>0.0</v>
      </c>
      <c r="T21" s="65" t="str">
        <f>'Simulado Final 1'!$S21/'Simulado Final 1'!$R21</f>
        <v>#DIV/0!</v>
      </c>
      <c r="U21" s="50"/>
      <c r="V21" s="64" t="s">
        <v>24</v>
      </c>
      <c r="W21" s="64">
        <v>0.0</v>
      </c>
      <c r="X21" s="64">
        <v>0.0</v>
      </c>
      <c r="Y21" s="65" t="str">
        <f>'Simulado Final 1'!$X21/'Simulado Final 1'!$W21</f>
        <v>#DIV/0!</v>
      </c>
      <c r="AA21" s="64" t="s">
        <v>24</v>
      </c>
      <c r="AB21" s="64">
        <v>0.0</v>
      </c>
      <c r="AC21" s="64">
        <v>0.0</v>
      </c>
      <c r="AD21" s="65" t="str">
        <f>'Simulado Final 1'!$AC21/'Simulado Final 1'!$AB21</f>
        <v>#DIV/0!</v>
      </c>
      <c r="AE21" s="50"/>
      <c r="AF21" s="64" t="s">
        <v>24</v>
      </c>
      <c r="AG21" s="64">
        <v>0.0</v>
      </c>
      <c r="AH21" s="64">
        <v>0.0</v>
      </c>
      <c r="AI21" s="65" t="str">
        <f>'Simulado Final 1'!$AH21/'Simulado Final 1'!$AG21</f>
        <v>#DIV/0!</v>
      </c>
      <c r="AJ21" s="50"/>
    </row>
    <row r="22" ht="15.75" customHeight="1">
      <c r="B22" s="64" t="s">
        <v>25</v>
      </c>
      <c r="C22" s="64">
        <v>0.0</v>
      </c>
      <c r="D22" s="64">
        <v>0.0</v>
      </c>
      <c r="E22" s="65" t="str">
        <f>'Simulado Final 1'!$D22/'Simulado Final 1'!$C22</f>
        <v>#DIV/0!</v>
      </c>
      <c r="F22" s="50"/>
      <c r="G22" s="64" t="s">
        <v>25</v>
      </c>
      <c r="H22" s="64">
        <v>0.0</v>
      </c>
      <c r="I22" s="64">
        <v>0.0</v>
      </c>
      <c r="J22" s="65" t="str">
        <f>'Simulado Final 1'!$I22/'Simulado Final 1'!$H22</f>
        <v>#DIV/0!</v>
      </c>
      <c r="K22" s="50"/>
      <c r="L22" s="64" t="s">
        <v>25</v>
      </c>
      <c r="M22" s="64">
        <v>0.0</v>
      </c>
      <c r="N22" s="64">
        <v>0.0</v>
      </c>
      <c r="O22" s="65" t="str">
        <f>'Simulado Final 1'!$N22/'Simulado Final 1'!$M22</f>
        <v>#DIV/0!</v>
      </c>
      <c r="P22" s="50"/>
      <c r="Q22" s="64" t="s">
        <v>25</v>
      </c>
      <c r="R22" s="64">
        <v>0.0</v>
      </c>
      <c r="S22" s="64">
        <v>0.0</v>
      </c>
      <c r="T22" s="65" t="str">
        <f>'Simulado Final 1'!$S22/'Simulado Final 1'!$R22</f>
        <v>#DIV/0!</v>
      </c>
      <c r="U22" s="50"/>
      <c r="V22" s="64" t="s">
        <v>25</v>
      </c>
      <c r="W22" s="64">
        <v>0.0</v>
      </c>
      <c r="X22" s="64">
        <v>0.0</v>
      </c>
      <c r="Y22" s="65" t="str">
        <f>'Simulado Final 1'!$X22/'Simulado Final 1'!$W22</f>
        <v>#DIV/0!</v>
      </c>
      <c r="AA22" s="64" t="s">
        <v>25</v>
      </c>
      <c r="AB22" s="64">
        <v>0.0</v>
      </c>
      <c r="AC22" s="64">
        <v>0.0</v>
      </c>
      <c r="AD22" s="65" t="str">
        <f>'Simulado Final 1'!$AC22/'Simulado Final 1'!$AB22</f>
        <v>#DIV/0!</v>
      </c>
      <c r="AE22" s="50"/>
      <c r="AF22" s="64" t="s">
        <v>25</v>
      </c>
      <c r="AG22" s="64">
        <v>0.0</v>
      </c>
      <c r="AH22" s="64">
        <v>0.0</v>
      </c>
      <c r="AI22" s="65" t="str">
        <f>'Simulado Final 1'!$AH22/'Simulado Final 1'!$AG22</f>
        <v>#DIV/0!</v>
      </c>
      <c r="AJ22" s="50"/>
    </row>
    <row r="23" ht="15.75" customHeight="1">
      <c r="B23" s="64" t="s">
        <v>26</v>
      </c>
      <c r="C23" s="64">
        <v>0.0</v>
      </c>
      <c r="D23" s="64">
        <v>0.0</v>
      </c>
      <c r="E23" s="65" t="str">
        <f>'Simulado Final 1'!$D23/'Simulado Final 1'!$C23</f>
        <v>#DIV/0!</v>
      </c>
      <c r="F23" s="50"/>
      <c r="G23" s="64" t="s">
        <v>26</v>
      </c>
      <c r="H23" s="64">
        <v>0.0</v>
      </c>
      <c r="I23" s="64">
        <v>0.0</v>
      </c>
      <c r="J23" s="65" t="str">
        <f>'Simulado Final 1'!$I23/'Simulado Final 1'!$H23</f>
        <v>#DIV/0!</v>
      </c>
      <c r="K23" s="50"/>
      <c r="L23" s="64" t="s">
        <v>26</v>
      </c>
      <c r="M23" s="64">
        <v>0.0</v>
      </c>
      <c r="N23" s="64">
        <v>0.0</v>
      </c>
      <c r="O23" s="65" t="str">
        <f>'Simulado Final 1'!$N23/'Simulado Final 1'!$M23</f>
        <v>#DIV/0!</v>
      </c>
      <c r="P23" s="50"/>
      <c r="Q23" s="64" t="s">
        <v>26</v>
      </c>
      <c r="R23" s="64">
        <v>0.0</v>
      </c>
      <c r="S23" s="64">
        <v>0.0</v>
      </c>
      <c r="T23" s="65" t="str">
        <f>'Simulado Final 1'!$S23/'Simulado Final 1'!$R23</f>
        <v>#DIV/0!</v>
      </c>
      <c r="U23" s="50"/>
      <c r="V23" s="64" t="s">
        <v>26</v>
      </c>
      <c r="W23" s="64">
        <v>0.0</v>
      </c>
      <c r="X23" s="64">
        <v>0.0</v>
      </c>
      <c r="Y23" s="65" t="str">
        <f>'Simulado Final 1'!$X23/'Simulado Final 1'!$W23</f>
        <v>#DIV/0!</v>
      </c>
      <c r="AA23" s="64" t="s">
        <v>26</v>
      </c>
      <c r="AB23" s="64">
        <v>0.0</v>
      </c>
      <c r="AC23" s="64">
        <v>0.0</v>
      </c>
      <c r="AD23" s="65" t="str">
        <f>'Simulado Final 1'!$AC23/'Simulado Final 1'!$AB23</f>
        <v>#DIV/0!</v>
      </c>
      <c r="AE23" s="50"/>
      <c r="AF23" s="64" t="s">
        <v>26</v>
      </c>
      <c r="AG23" s="64">
        <v>0.0</v>
      </c>
      <c r="AH23" s="64">
        <v>0.0</v>
      </c>
      <c r="AI23" s="65" t="str">
        <f>'Simulado Final 1'!$AH23/'Simulado Final 1'!$AG23</f>
        <v>#DIV/0!</v>
      </c>
      <c r="AJ23" s="50"/>
    </row>
    <row r="24" ht="15.75" customHeight="1">
      <c r="B24" s="64" t="s">
        <v>27</v>
      </c>
      <c r="C24" s="64">
        <v>0.0</v>
      </c>
      <c r="D24" s="64">
        <v>0.0</v>
      </c>
      <c r="E24" s="65" t="str">
        <f>'Simulado Final 1'!$D24/'Simulado Final 1'!$C24</f>
        <v>#DIV/0!</v>
      </c>
      <c r="F24" s="50"/>
      <c r="G24" s="64" t="s">
        <v>27</v>
      </c>
      <c r="H24" s="64">
        <v>0.0</v>
      </c>
      <c r="I24" s="64">
        <v>0.0</v>
      </c>
      <c r="J24" s="65" t="str">
        <f>'Simulado Final 1'!$I24/'Simulado Final 1'!$H24</f>
        <v>#DIV/0!</v>
      </c>
      <c r="K24" s="50"/>
      <c r="L24" s="64" t="s">
        <v>27</v>
      </c>
      <c r="M24" s="64">
        <v>0.0</v>
      </c>
      <c r="N24" s="64">
        <v>0.0</v>
      </c>
      <c r="O24" s="65" t="str">
        <f>'Simulado Final 1'!$N24/'Simulado Final 1'!$M24</f>
        <v>#DIV/0!</v>
      </c>
      <c r="P24" s="50"/>
      <c r="Q24" s="64" t="s">
        <v>27</v>
      </c>
      <c r="R24" s="64">
        <v>0.0</v>
      </c>
      <c r="S24" s="64">
        <v>0.0</v>
      </c>
      <c r="T24" s="65" t="str">
        <f>'Simulado Final 1'!$S24/'Simulado Final 1'!$R24</f>
        <v>#DIV/0!</v>
      </c>
      <c r="U24" s="50"/>
      <c r="V24" s="64" t="s">
        <v>27</v>
      </c>
      <c r="W24" s="64">
        <v>0.0</v>
      </c>
      <c r="X24" s="64">
        <v>0.0</v>
      </c>
      <c r="Y24" s="65" t="str">
        <f>'Simulado Final 1'!$X24/'Simulado Final 1'!$W24</f>
        <v>#DIV/0!</v>
      </c>
      <c r="AA24" s="64" t="s">
        <v>27</v>
      </c>
      <c r="AB24" s="64">
        <v>0.0</v>
      </c>
      <c r="AC24" s="64">
        <v>0.0</v>
      </c>
      <c r="AD24" s="65" t="str">
        <f>'Simulado Final 1'!$AC24/'Simulado Final 1'!$AB24</f>
        <v>#DIV/0!</v>
      </c>
      <c r="AE24" s="50"/>
      <c r="AF24" s="64" t="s">
        <v>27</v>
      </c>
      <c r="AG24" s="64">
        <v>0.0</v>
      </c>
      <c r="AH24" s="64">
        <v>0.0</v>
      </c>
      <c r="AI24" s="65" t="str">
        <f>'Simulado Final 1'!$AH24/'Simulado Final 1'!$AG24</f>
        <v>#DIV/0!</v>
      </c>
      <c r="AJ24" s="50"/>
    </row>
    <row r="25" ht="15.75" customHeight="1">
      <c r="B25" s="66"/>
      <c r="C25" s="66"/>
      <c r="D25" s="66"/>
      <c r="E25" s="66"/>
    </row>
    <row r="26" ht="15.75" customHeight="1">
      <c r="B26" s="67" t="s">
        <v>1</v>
      </c>
      <c r="C26" s="68"/>
      <c r="D26" s="68"/>
      <c r="E26" s="68"/>
    </row>
    <row r="27" ht="15.75" customHeight="1">
      <c r="B27" s="60" t="s">
        <v>358</v>
      </c>
      <c r="C27" s="61"/>
      <c r="D27" s="61"/>
      <c r="E27" s="62"/>
    </row>
    <row r="28" ht="15.75" customHeight="1">
      <c r="B28" s="63" t="s">
        <v>3</v>
      </c>
      <c r="C28" s="63" t="s">
        <v>6</v>
      </c>
      <c r="D28" s="63" t="s">
        <v>47</v>
      </c>
      <c r="E28" s="63" t="s">
        <v>7</v>
      </c>
    </row>
    <row r="29" ht="15.75" customHeight="1">
      <c r="B29" s="64" t="s">
        <v>8</v>
      </c>
      <c r="C29" s="64">
        <f t="shared" ref="C29:D29" si="1">SUM(C5,H5,M5,R5,W5,AB5,AG5)</f>
        <v>0</v>
      </c>
      <c r="D29" s="64">
        <f t="shared" si="1"/>
        <v>0</v>
      </c>
      <c r="E29" s="65" t="str">
        <f>'Simulado Final 1'!$D29/'Simulado Final 1'!$C29</f>
        <v>#DIV/0!</v>
      </c>
    </row>
    <row r="30" ht="15.75" customHeight="1">
      <c r="B30" s="64" t="s">
        <v>9</v>
      </c>
      <c r="C30" s="64">
        <f t="shared" ref="C30:D30" si="2">SUM(C6,H6,M6,R6,W6,AB6,AG6)</f>
        <v>0</v>
      </c>
      <c r="D30" s="64">
        <f t="shared" si="2"/>
        <v>0</v>
      </c>
      <c r="E30" s="65" t="str">
        <f>'Simulado Final 1'!$D30/'Simulado Final 1'!$C30</f>
        <v>#DIV/0!</v>
      </c>
    </row>
    <row r="31" ht="15.75" customHeight="1">
      <c r="B31" s="64" t="s">
        <v>10</v>
      </c>
      <c r="C31" s="64">
        <f t="shared" ref="C31:D31" si="3">SUM(C7,H7,M7,R7,W7,AB7,AG7)</f>
        <v>0</v>
      </c>
      <c r="D31" s="64">
        <f t="shared" si="3"/>
        <v>0</v>
      </c>
      <c r="E31" s="65" t="str">
        <f>'Simulado Final 1'!$D31/'Simulado Final 1'!$C31</f>
        <v>#DIV/0!</v>
      </c>
    </row>
    <row r="32" ht="15.75" customHeight="1">
      <c r="B32" s="64" t="s">
        <v>11</v>
      </c>
      <c r="C32" s="64">
        <f t="shared" ref="C32:D32" si="4">SUM(C8,H8,M8,R8,W8,AB8,AG8)</f>
        <v>0</v>
      </c>
      <c r="D32" s="64">
        <f t="shared" si="4"/>
        <v>0</v>
      </c>
      <c r="E32" s="65" t="str">
        <f>'Simulado Final 1'!$D32/'Simulado Final 1'!$C32</f>
        <v>#DIV/0!</v>
      </c>
    </row>
    <row r="33" ht="15.75" customHeight="1">
      <c r="B33" s="64" t="s">
        <v>12</v>
      </c>
      <c r="C33" s="64">
        <f t="shared" ref="C33:D33" si="5">SUM(C9,H9,M9,R9,W9,AB9,AG9)</f>
        <v>0</v>
      </c>
      <c r="D33" s="64">
        <f t="shared" si="5"/>
        <v>0</v>
      </c>
      <c r="E33" s="65" t="str">
        <f>'Simulado Final 1'!$D33/'Simulado Final 1'!$C33</f>
        <v>#DIV/0!</v>
      </c>
    </row>
    <row r="34" ht="15.75" customHeight="1">
      <c r="B34" s="64" t="s">
        <v>13</v>
      </c>
      <c r="C34" s="64">
        <f t="shared" ref="C34:D34" si="6">SUM(C10,H10,M10,R10,W10,AB10,AG10)</f>
        <v>0</v>
      </c>
      <c r="D34" s="64">
        <f t="shared" si="6"/>
        <v>0</v>
      </c>
      <c r="E34" s="65" t="str">
        <f>'Simulado Final 1'!$D34/'Simulado Final 1'!$C34</f>
        <v>#DIV/0!</v>
      </c>
    </row>
    <row r="35" ht="15.75" customHeight="1">
      <c r="B35" s="64" t="s">
        <v>14</v>
      </c>
      <c r="C35" s="64">
        <f t="shared" ref="C35:D35" si="7">SUM(C11,H11,M11,R11,W11,AB11,AG11)</f>
        <v>0</v>
      </c>
      <c r="D35" s="64">
        <f t="shared" si="7"/>
        <v>0</v>
      </c>
      <c r="E35" s="65" t="str">
        <f>'Simulado Final 1'!$D35/'Simulado Final 1'!$C35</f>
        <v>#DIV/0!</v>
      </c>
    </row>
    <row r="36" ht="15.75" customHeight="1">
      <c r="B36" s="64" t="s">
        <v>15</v>
      </c>
      <c r="C36" s="64">
        <f t="shared" ref="C36:D36" si="8">SUM(C12,H12,M12,R12,W12,AB12,AG12)</f>
        <v>0</v>
      </c>
      <c r="D36" s="64">
        <f t="shared" si="8"/>
        <v>0</v>
      </c>
      <c r="E36" s="65" t="str">
        <f>'Simulado Final 1'!$D36/'Simulado Final 1'!$C36</f>
        <v>#DIV/0!</v>
      </c>
    </row>
    <row r="37" ht="15.75" customHeight="1">
      <c r="B37" s="64" t="s">
        <v>16</v>
      </c>
      <c r="C37" s="64">
        <f t="shared" ref="C37:D37" si="9">SUM(C13,H13,M13,R13,W13,AB13,AG13)</f>
        <v>0</v>
      </c>
      <c r="D37" s="64">
        <f t="shared" si="9"/>
        <v>0</v>
      </c>
      <c r="E37" s="65" t="str">
        <f>'Simulado Final 1'!$D37/'Simulado Final 1'!$C37</f>
        <v>#DIV/0!</v>
      </c>
    </row>
    <row r="38" ht="15.75" customHeight="1">
      <c r="B38" s="64" t="s">
        <v>17</v>
      </c>
      <c r="C38" s="64">
        <f t="shared" ref="C38:D38" si="10">SUM(C14,H14,M14,R14,W14,AB14,AG14)</f>
        <v>0</v>
      </c>
      <c r="D38" s="64">
        <f t="shared" si="10"/>
        <v>0</v>
      </c>
      <c r="E38" s="65" t="str">
        <f>'Simulado Final 1'!$D38/'Simulado Final 1'!$C38</f>
        <v>#DIV/0!</v>
      </c>
    </row>
    <row r="39" ht="15.75" customHeight="1">
      <c r="B39" s="64" t="s">
        <v>18</v>
      </c>
      <c r="C39" s="64">
        <f t="shared" ref="C39:D39" si="11">SUM(C15,H15,M15,R15,W15,AB15,AG15)</f>
        <v>0</v>
      </c>
      <c r="D39" s="64">
        <f t="shared" si="11"/>
        <v>0</v>
      </c>
      <c r="E39" s="65" t="str">
        <f>'Simulado Final 1'!$D39/'Simulado Final 1'!$C39</f>
        <v>#DIV/0!</v>
      </c>
    </row>
    <row r="40" ht="15.75" customHeight="1">
      <c r="B40" s="64" t="s">
        <v>19</v>
      </c>
      <c r="C40" s="64">
        <f t="shared" ref="C40:D40" si="12">SUM(C16,H16,M16,R16,W16,AB16,AG16)</f>
        <v>0</v>
      </c>
      <c r="D40" s="64">
        <f t="shared" si="12"/>
        <v>0</v>
      </c>
      <c r="E40" s="65" t="str">
        <f>'Simulado Final 1'!$D40/'Simulado Final 1'!$C40</f>
        <v>#DIV/0!</v>
      </c>
    </row>
    <row r="41" ht="15.75" customHeight="1">
      <c r="B41" s="64" t="s">
        <v>20</v>
      </c>
      <c r="C41" s="64">
        <f t="shared" ref="C41:D41" si="13">SUM(C17,H17,M17,R17,W17,AB17,AG17)</f>
        <v>0</v>
      </c>
      <c r="D41" s="64">
        <f t="shared" si="13"/>
        <v>0</v>
      </c>
      <c r="E41" s="65" t="str">
        <f>'Simulado Final 1'!$D41/'Simulado Final 1'!$C41</f>
        <v>#DIV/0!</v>
      </c>
    </row>
    <row r="42" ht="15.75" customHeight="1">
      <c r="B42" s="64" t="s">
        <v>21</v>
      </c>
      <c r="C42" s="64">
        <f t="shared" ref="C42:D42" si="14">SUM(C18,H18,M18,R18,W18,AB18,AG18)</f>
        <v>0</v>
      </c>
      <c r="D42" s="64">
        <f t="shared" si="14"/>
        <v>0</v>
      </c>
      <c r="E42" s="65" t="str">
        <f>'Simulado Final 1'!$D42/'Simulado Final 1'!$C42</f>
        <v>#DIV/0!</v>
      </c>
    </row>
    <row r="43" ht="15.75" customHeight="1">
      <c r="B43" s="64" t="s">
        <v>22</v>
      </c>
      <c r="C43" s="64">
        <f t="shared" ref="C43:D43" si="15">SUM(C19,H19,M19,R19,W19,AB19,AG19)</f>
        <v>0</v>
      </c>
      <c r="D43" s="64">
        <f t="shared" si="15"/>
        <v>0</v>
      </c>
      <c r="E43" s="65" t="str">
        <f>'Simulado Final 1'!$D43/'Simulado Final 1'!$C43</f>
        <v>#DIV/0!</v>
      </c>
    </row>
    <row r="44" ht="15.75" customHeight="1">
      <c r="B44" s="64" t="s">
        <v>23</v>
      </c>
      <c r="C44" s="64">
        <f t="shared" ref="C44:D44" si="16">SUM(C20,H20,M20,R20,W20,AB20,AG20)</f>
        <v>0</v>
      </c>
      <c r="D44" s="64">
        <f t="shared" si="16"/>
        <v>0</v>
      </c>
      <c r="E44" s="65" t="str">
        <f>'Simulado Final 1'!$D44/'Simulado Final 1'!$C44</f>
        <v>#DIV/0!</v>
      </c>
    </row>
    <row r="45" ht="15.75" customHeight="1">
      <c r="B45" s="64" t="s">
        <v>24</v>
      </c>
      <c r="C45" s="64">
        <f t="shared" ref="C45:D45" si="17">SUM(C21,H21,M21,R21,W21,AB21,AG21)</f>
        <v>0</v>
      </c>
      <c r="D45" s="64">
        <f t="shared" si="17"/>
        <v>0</v>
      </c>
      <c r="E45" s="65" t="str">
        <f>'Simulado Final 1'!$D45/'Simulado Final 1'!$C45</f>
        <v>#DIV/0!</v>
      </c>
    </row>
    <row r="46" ht="15.75" customHeight="1">
      <c r="B46" s="64" t="s">
        <v>25</v>
      </c>
      <c r="C46" s="64">
        <f t="shared" ref="C46:D46" si="18">SUM(C22,H22,M22,R22,W22,AB22,AG22)</f>
        <v>0</v>
      </c>
      <c r="D46" s="64">
        <f t="shared" si="18"/>
        <v>0</v>
      </c>
      <c r="E46" s="65" t="str">
        <f>'Simulado Final 1'!$D46/'Simulado Final 1'!$C46</f>
        <v>#DIV/0!</v>
      </c>
    </row>
    <row r="47" ht="15.75" customHeight="1">
      <c r="B47" s="64" t="s">
        <v>26</v>
      </c>
      <c r="C47" s="64">
        <f t="shared" ref="C47:D47" si="19">SUM(C23,H23,M23,R23,W23,AB23,AG23)</f>
        <v>0</v>
      </c>
      <c r="D47" s="64">
        <f t="shared" si="19"/>
        <v>0</v>
      </c>
      <c r="E47" s="65" t="str">
        <f>'Simulado Final 1'!$D47/'Simulado Final 1'!$C47</f>
        <v>#DIV/0!</v>
      </c>
    </row>
    <row r="48" ht="15.75" customHeight="1">
      <c r="B48" s="64" t="s">
        <v>27</v>
      </c>
      <c r="C48" s="64">
        <f t="shared" ref="C48:D48" si="20">SUM(C24,H24,M24,R24,W24,AB24,AG24)</f>
        <v>0</v>
      </c>
      <c r="D48" s="64">
        <f t="shared" si="20"/>
        <v>0</v>
      </c>
      <c r="E48" s="65" t="str">
        <f>'Simulado Final 1'!$D48/'Simulado Final 1'!$C48</f>
        <v>#DIV/0!</v>
      </c>
    </row>
    <row r="49" ht="15.75" customHeight="1">
      <c r="B49" s="64" t="s">
        <v>28</v>
      </c>
      <c r="C49" s="64">
        <f t="shared" ref="C49:D49" si="21">SUM(C29:C48)</f>
        <v>0</v>
      </c>
      <c r="D49" s="64">
        <f t="shared" si="21"/>
        <v>0</v>
      </c>
      <c r="E49" s="65" t="str">
        <f>'Simulado Final 1'!$D49/'Simulado Final 1'!$C49</f>
        <v>#DIV/0!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6:E26"/>
    <mergeCell ref="B27:E27"/>
    <mergeCell ref="B3:E3"/>
    <mergeCell ref="G3:J3"/>
    <mergeCell ref="L3:O3"/>
    <mergeCell ref="Q3:T3"/>
    <mergeCell ref="V3:Y3"/>
    <mergeCell ref="AA3:AD3"/>
    <mergeCell ref="AF3:AI3"/>
  </mergeCells>
  <printOptions/>
  <pageMargins bottom="0.787401575" footer="0.0" header="0.0" left="0.511811024" right="0.511811024" top="0.7874015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4.29"/>
    <col customWidth="1" min="4" max="4" width="14.86"/>
    <col customWidth="1" min="5" max="5" width="17.0"/>
    <col customWidth="1" min="6" max="6" width="8.71"/>
    <col customWidth="1" min="7" max="7" width="18.43"/>
    <col customWidth="1" min="8" max="8" width="24.29"/>
    <col customWidth="1" min="9" max="9" width="14.86"/>
    <col customWidth="1" min="10" max="10" width="17.0"/>
    <col customWidth="1" min="11" max="11" width="8.71"/>
    <col customWidth="1" min="12" max="12" width="18.43"/>
    <col customWidth="1" min="13" max="13" width="24.29"/>
    <col customWidth="1" min="14" max="14" width="14.86"/>
    <col customWidth="1" min="15" max="15" width="17.0"/>
    <col customWidth="1" min="16" max="16" width="8.71"/>
    <col customWidth="1" min="17" max="17" width="18.43"/>
    <col customWidth="1" min="18" max="18" width="24.29"/>
    <col customWidth="1" min="19" max="19" width="14.86"/>
    <col customWidth="1" min="20" max="20" width="17.0"/>
    <col customWidth="1" min="21" max="21" width="8.71"/>
    <col customWidth="1" min="22" max="22" width="18.43"/>
    <col customWidth="1" min="23" max="23" width="24.29"/>
    <col customWidth="1" min="24" max="24" width="14.86"/>
    <col customWidth="1" min="25" max="25" width="17.0"/>
    <col customWidth="1" min="26" max="26" width="8.71"/>
    <col customWidth="1" min="27" max="27" width="18.43"/>
    <col customWidth="1" min="28" max="28" width="24.29"/>
    <col customWidth="1" min="29" max="29" width="14.86"/>
    <col customWidth="1" min="30" max="30" width="17.0"/>
    <col customWidth="1" min="31" max="31" width="8.71"/>
    <col customWidth="1" min="32" max="32" width="18.43"/>
    <col customWidth="1" min="33" max="33" width="24.29"/>
    <col customWidth="1" min="34" max="34" width="14.86"/>
    <col customWidth="1" min="35" max="35" width="17.0"/>
    <col customWidth="1" min="36" max="36" width="8.71"/>
  </cols>
  <sheetData>
    <row r="3">
      <c r="B3" s="60" t="s">
        <v>351</v>
      </c>
      <c r="C3" s="61"/>
      <c r="D3" s="61"/>
      <c r="E3" s="62"/>
      <c r="F3" s="50"/>
      <c r="G3" s="60" t="s">
        <v>352</v>
      </c>
      <c r="H3" s="61"/>
      <c r="I3" s="61"/>
      <c r="J3" s="62"/>
      <c r="K3" s="50"/>
      <c r="L3" s="60" t="s">
        <v>353</v>
      </c>
      <c r="M3" s="61"/>
      <c r="N3" s="61"/>
      <c r="O3" s="62"/>
      <c r="P3" s="50"/>
      <c r="Q3" s="60" t="s">
        <v>354</v>
      </c>
      <c r="R3" s="61"/>
      <c r="S3" s="61"/>
      <c r="T3" s="62"/>
      <c r="U3" s="50"/>
      <c r="V3" s="60" t="s">
        <v>355</v>
      </c>
      <c r="W3" s="61"/>
      <c r="X3" s="61"/>
      <c r="Y3" s="62"/>
      <c r="AA3" s="60" t="s">
        <v>356</v>
      </c>
      <c r="AB3" s="61"/>
      <c r="AC3" s="61"/>
      <c r="AD3" s="62"/>
      <c r="AE3" s="50"/>
      <c r="AF3" s="60" t="s">
        <v>357</v>
      </c>
      <c r="AG3" s="61"/>
      <c r="AH3" s="61"/>
      <c r="AI3" s="62"/>
      <c r="AJ3" s="50"/>
    </row>
    <row r="4">
      <c r="B4" s="63" t="s">
        <v>3</v>
      </c>
      <c r="C4" s="63" t="s">
        <v>6</v>
      </c>
      <c r="D4" s="63" t="s">
        <v>47</v>
      </c>
      <c r="E4" s="63" t="s">
        <v>7</v>
      </c>
      <c r="F4" s="50"/>
      <c r="G4" s="63" t="s">
        <v>3</v>
      </c>
      <c r="H4" s="63" t="s">
        <v>6</v>
      </c>
      <c r="I4" s="63" t="s">
        <v>47</v>
      </c>
      <c r="J4" s="63" t="s">
        <v>7</v>
      </c>
      <c r="K4" s="50"/>
      <c r="L4" s="63" t="s">
        <v>3</v>
      </c>
      <c r="M4" s="63" t="s">
        <v>6</v>
      </c>
      <c r="N4" s="63" t="s">
        <v>47</v>
      </c>
      <c r="O4" s="63" t="s">
        <v>7</v>
      </c>
      <c r="P4" s="50"/>
      <c r="Q4" s="63" t="s">
        <v>3</v>
      </c>
      <c r="R4" s="63" t="s">
        <v>6</v>
      </c>
      <c r="S4" s="63" t="s">
        <v>47</v>
      </c>
      <c r="T4" s="63" t="s">
        <v>7</v>
      </c>
      <c r="U4" s="50"/>
      <c r="V4" s="63" t="s">
        <v>3</v>
      </c>
      <c r="W4" s="63" t="s">
        <v>6</v>
      </c>
      <c r="X4" s="63" t="s">
        <v>47</v>
      </c>
      <c r="Y4" s="63" t="s">
        <v>7</v>
      </c>
      <c r="AA4" s="63" t="s">
        <v>3</v>
      </c>
      <c r="AB4" s="63" t="s">
        <v>6</v>
      </c>
      <c r="AC4" s="63" t="s">
        <v>47</v>
      </c>
      <c r="AD4" s="63" t="s">
        <v>7</v>
      </c>
      <c r="AE4" s="50"/>
      <c r="AF4" s="63" t="s">
        <v>3</v>
      </c>
      <c r="AG4" s="63" t="s">
        <v>6</v>
      </c>
      <c r="AH4" s="63" t="s">
        <v>47</v>
      </c>
      <c r="AI4" s="63" t="s">
        <v>7</v>
      </c>
      <c r="AJ4" s="50"/>
    </row>
    <row r="5">
      <c r="B5" s="64" t="s">
        <v>8</v>
      </c>
      <c r="C5" s="64">
        <v>0.0</v>
      </c>
      <c r="D5" s="64">
        <v>0.0</v>
      </c>
      <c r="E5" s="65" t="str">
        <f>'Simulado Final 2'!$D5/'Simulado Final 2'!$C5</f>
        <v>#DIV/0!</v>
      </c>
      <c r="F5" s="50"/>
      <c r="G5" s="64" t="s">
        <v>8</v>
      </c>
      <c r="H5" s="64">
        <v>0.0</v>
      </c>
      <c r="I5" s="64">
        <v>0.0</v>
      </c>
      <c r="J5" s="65" t="str">
        <f>'Simulado Final 2'!$I5/'Simulado Final 2'!$H5</f>
        <v>#DIV/0!</v>
      </c>
      <c r="K5" s="50"/>
      <c r="L5" s="64" t="s">
        <v>8</v>
      </c>
      <c r="M5" s="64">
        <v>0.0</v>
      </c>
      <c r="N5" s="64">
        <v>0.0</v>
      </c>
      <c r="O5" s="65" t="str">
        <f>'Simulado Final 2'!$N5/'Simulado Final 2'!$M5</f>
        <v>#DIV/0!</v>
      </c>
      <c r="P5" s="50"/>
      <c r="Q5" s="64" t="s">
        <v>8</v>
      </c>
      <c r="R5" s="64">
        <v>0.0</v>
      </c>
      <c r="S5" s="64">
        <v>0.0</v>
      </c>
      <c r="T5" s="65" t="str">
        <f>'Simulado Final 2'!$S5/'Simulado Final 2'!$R5</f>
        <v>#DIV/0!</v>
      </c>
      <c r="U5" s="50"/>
      <c r="V5" s="64" t="s">
        <v>8</v>
      </c>
      <c r="W5" s="64">
        <v>0.0</v>
      </c>
      <c r="X5" s="64">
        <v>0.0</v>
      </c>
      <c r="Y5" s="65" t="str">
        <f>'Simulado Final 2'!$X5/'Simulado Final 2'!$W5</f>
        <v>#DIV/0!</v>
      </c>
      <c r="AA5" s="64" t="s">
        <v>8</v>
      </c>
      <c r="AB5" s="64">
        <v>0.0</v>
      </c>
      <c r="AC5" s="64">
        <v>0.0</v>
      </c>
      <c r="AD5" s="65" t="str">
        <f>'Simulado Final 2'!$AC5/'Simulado Final 2'!$AB5</f>
        <v>#DIV/0!</v>
      </c>
      <c r="AE5" s="50"/>
      <c r="AF5" s="64" t="s">
        <v>8</v>
      </c>
      <c r="AG5" s="64">
        <v>0.0</v>
      </c>
      <c r="AH5" s="64">
        <v>0.0</v>
      </c>
      <c r="AI5" s="65" t="str">
        <f>'Simulado Final 2'!$AH5/'Simulado Final 2'!$AG5</f>
        <v>#DIV/0!</v>
      </c>
      <c r="AJ5" s="50"/>
    </row>
    <row r="6">
      <c r="B6" s="64" t="s">
        <v>9</v>
      </c>
      <c r="C6" s="64">
        <v>0.0</v>
      </c>
      <c r="D6" s="64">
        <v>0.0</v>
      </c>
      <c r="E6" s="65" t="str">
        <f>'Simulado Final 2'!$D6/'Simulado Final 2'!$C6</f>
        <v>#DIV/0!</v>
      </c>
      <c r="F6" s="50"/>
      <c r="G6" s="64" t="s">
        <v>9</v>
      </c>
      <c r="H6" s="64">
        <v>0.0</v>
      </c>
      <c r="I6" s="64">
        <v>0.0</v>
      </c>
      <c r="J6" s="65" t="str">
        <f>'Simulado Final 2'!$I6/'Simulado Final 2'!$H6</f>
        <v>#DIV/0!</v>
      </c>
      <c r="K6" s="50"/>
      <c r="L6" s="64" t="s">
        <v>9</v>
      </c>
      <c r="M6" s="64">
        <v>0.0</v>
      </c>
      <c r="N6" s="64">
        <v>0.0</v>
      </c>
      <c r="O6" s="65" t="str">
        <f>'Simulado Final 2'!$N6/'Simulado Final 2'!$M6</f>
        <v>#DIV/0!</v>
      </c>
      <c r="P6" s="50"/>
      <c r="Q6" s="64" t="s">
        <v>9</v>
      </c>
      <c r="R6" s="64">
        <v>0.0</v>
      </c>
      <c r="S6" s="64">
        <v>0.0</v>
      </c>
      <c r="T6" s="65" t="str">
        <f>'Simulado Final 2'!$S6/'Simulado Final 2'!$R6</f>
        <v>#DIV/0!</v>
      </c>
      <c r="U6" s="50"/>
      <c r="V6" s="64" t="s">
        <v>9</v>
      </c>
      <c r="W6" s="64">
        <v>0.0</v>
      </c>
      <c r="X6" s="64">
        <v>0.0</v>
      </c>
      <c r="Y6" s="65" t="str">
        <f>'Simulado Final 2'!$X6/'Simulado Final 2'!$W6</f>
        <v>#DIV/0!</v>
      </c>
      <c r="AA6" s="64" t="s">
        <v>9</v>
      </c>
      <c r="AB6" s="64">
        <v>0.0</v>
      </c>
      <c r="AC6" s="64">
        <v>0.0</v>
      </c>
      <c r="AD6" s="65" t="str">
        <f>'Simulado Final 2'!$AC6/'Simulado Final 2'!$AB6</f>
        <v>#DIV/0!</v>
      </c>
      <c r="AE6" s="50"/>
      <c r="AF6" s="64" t="s">
        <v>9</v>
      </c>
      <c r="AG6" s="64">
        <v>0.0</v>
      </c>
      <c r="AH6" s="64">
        <v>0.0</v>
      </c>
      <c r="AI6" s="65" t="str">
        <f>'Simulado Final 2'!$AH6/'Simulado Final 2'!$AG6</f>
        <v>#DIV/0!</v>
      </c>
      <c r="AJ6" s="50"/>
    </row>
    <row r="7">
      <c r="B7" s="64" t="s">
        <v>10</v>
      </c>
      <c r="C7" s="64">
        <v>0.0</v>
      </c>
      <c r="D7" s="64">
        <v>0.0</v>
      </c>
      <c r="E7" s="65" t="str">
        <f>'Simulado Final 2'!$D7/'Simulado Final 2'!$C7</f>
        <v>#DIV/0!</v>
      </c>
      <c r="F7" s="50"/>
      <c r="G7" s="64" t="s">
        <v>10</v>
      </c>
      <c r="H7" s="64">
        <v>0.0</v>
      </c>
      <c r="I7" s="64">
        <v>0.0</v>
      </c>
      <c r="J7" s="65" t="str">
        <f>'Simulado Final 2'!$I7/'Simulado Final 2'!$H7</f>
        <v>#DIV/0!</v>
      </c>
      <c r="K7" s="50"/>
      <c r="L7" s="64" t="s">
        <v>10</v>
      </c>
      <c r="M7" s="64">
        <v>0.0</v>
      </c>
      <c r="N7" s="64">
        <v>0.0</v>
      </c>
      <c r="O7" s="65" t="str">
        <f>'Simulado Final 2'!$N7/'Simulado Final 2'!$M7</f>
        <v>#DIV/0!</v>
      </c>
      <c r="P7" s="50"/>
      <c r="Q7" s="64" t="s">
        <v>10</v>
      </c>
      <c r="R7" s="64">
        <v>0.0</v>
      </c>
      <c r="S7" s="64">
        <v>0.0</v>
      </c>
      <c r="T7" s="65" t="str">
        <f>'Simulado Final 2'!$S7/'Simulado Final 2'!$R7</f>
        <v>#DIV/0!</v>
      </c>
      <c r="U7" s="50"/>
      <c r="V7" s="64" t="s">
        <v>10</v>
      </c>
      <c r="W7" s="64">
        <v>0.0</v>
      </c>
      <c r="X7" s="64">
        <v>0.0</v>
      </c>
      <c r="Y7" s="65" t="str">
        <f>'Simulado Final 2'!$X7/'Simulado Final 2'!$W7</f>
        <v>#DIV/0!</v>
      </c>
      <c r="AA7" s="64" t="s">
        <v>10</v>
      </c>
      <c r="AB7" s="64">
        <v>0.0</v>
      </c>
      <c r="AC7" s="64">
        <v>0.0</v>
      </c>
      <c r="AD7" s="65" t="str">
        <f>'Simulado Final 2'!$AC7/'Simulado Final 2'!$AB7</f>
        <v>#DIV/0!</v>
      </c>
      <c r="AE7" s="50"/>
      <c r="AF7" s="64" t="s">
        <v>10</v>
      </c>
      <c r="AG7" s="64">
        <v>0.0</v>
      </c>
      <c r="AH7" s="64">
        <v>0.0</v>
      </c>
      <c r="AI7" s="65" t="str">
        <f>'Simulado Final 2'!$AH7/'Simulado Final 2'!$AG7</f>
        <v>#DIV/0!</v>
      </c>
      <c r="AJ7" s="50"/>
    </row>
    <row r="8">
      <c r="B8" s="64" t="s">
        <v>11</v>
      </c>
      <c r="C8" s="64">
        <v>0.0</v>
      </c>
      <c r="D8" s="64">
        <v>0.0</v>
      </c>
      <c r="E8" s="65" t="str">
        <f>'Simulado Final 2'!$D8/'Simulado Final 2'!$C8</f>
        <v>#DIV/0!</v>
      </c>
      <c r="F8" s="50"/>
      <c r="G8" s="64" t="s">
        <v>11</v>
      </c>
      <c r="H8" s="64">
        <v>0.0</v>
      </c>
      <c r="I8" s="64">
        <v>0.0</v>
      </c>
      <c r="J8" s="65" t="str">
        <f>'Simulado Final 2'!$I8/'Simulado Final 2'!$H8</f>
        <v>#DIV/0!</v>
      </c>
      <c r="K8" s="50"/>
      <c r="L8" s="64" t="s">
        <v>11</v>
      </c>
      <c r="M8" s="64">
        <v>0.0</v>
      </c>
      <c r="N8" s="64">
        <v>0.0</v>
      </c>
      <c r="O8" s="65" t="str">
        <f>'Simulado Final 2'!$N8/'Simulado Final 2'!$M8</f>
        <v>#DIV/0!</v>
      </c>
      <c r="P8" s="50"/>
      <c r="Q8" s="64" t="s">
        <v>11</v>
      </c>
      <c r="R8" s="64">
        <v>0.0</v>
      </c>
      <c r="S8" s="64">
        <v>0.0</v>
      </c>
      <c r="T8" s="65" t="str">
        <f>'Simulado Final 2'!$S8/'Simulado Final 2'!$R8</f>
        <v>#DIV/0!</v>
      </c>
      <c r="U8" s="50"/>
      <c r="V8" s="64" t="s">
        <v>11</v>
      </c>
      <c r="W8" s="64">
        <v>0.0</v>
      </c>
      <c r="X8" s="64">
        <v>0.0</v>
      </c>
      <c r="Y8" s="65" t="str">
        <f>'Simulado Final 2'!$X8/'Simulado Final 2'!$W8</f>
        <v>#DIV/0!</v>
      </c>
      <c r="AA8" s="64" t="s">
        <v>11</v>
      </c>
      <c r="AB8" s="64">
        <v>0.0</v>
      </c>
      <c r="AC8" s="64">
        <v>0.0</v>
      </c>
      <c r="AD8" s="65" t="str">
        <f>'Simulado Final 2'!$AC8/'Simulado Final 2'!$AB8</f>
        <v>#DIV/0!</v>
      </c>
      <c r="AE8" s="50"/>
      <c r="AF8" s="64" t="s">
        <v>11</v>
      </c>
      <c r="AG8" s="64">
        <v>0.0</v>
      </c>
      <c r="AH8" s="64">
        <v>0.0</v>
      </c>
      <c r="AI8" s="65" t="str">
        <f>'Simulado Final 2'!$AH8/'Simulado Final 2'!$AG8</f>
        <v>#DIV/0!</v>
      </c>
      <c r="AJ8" s="50"/>
    </row>
    <row r="9">
      <c r="B9" s="64" t="s">
        <v>12</v>
      </c>
      <c r="C9" s="64">
        <v>0.0</v>
      </c>
      <c r="D9" s="64">
        <v>0.0</v>
      </c>
      <c r="E9" s="65" t="str">
        <f>'Simulado Final 2'!$D9/'Simulado Final 2'!$C9</f>
        <v>#DIV/0!</v>
      </c>
      <c r="F9" s="50"/>
      <c r="G9" s="64" t="s">
        <v>12</v>
      </c>
      <c r="H9" s="64">
        <v>0.0</v>
      </c>
      <c r="I9" s="64">
        <v>0.0</v>
      </c>
      <c r="J9" s="65" t="str">
        <f>'Simulado Final 2'!$I9/'Simulado Final 2'!$H9</f>
        <v>#DIV/0!</v>
      </c>
      <c r="K9" s="50"/>
      <c r="L9" s="64" t="s">
        <v>12</v>
      </c>
      <c r="M9" s="64">
        <v>0.0</v>
      </c>
      <c r="N9" s="64">
        <v>0.0</v>
      </c>
      <c r="O9" s="65" t="str">
        <f>'Simulado Final 2'!$N9/'Simulado Final 2'!$M9</f>
        <v>#DIV/0!</v>
      </c>
      <c r="P9" s="50"/>
      <c r="Q9" s="64" t="s">
        <v>12</v>
      </c>
      <c r="R9" s="64">
        <v>0.0</v>
      </c>
      <c r="S9" s="64">
        <v>0.0</v>
      </c>
      <c r="T9" s="65" t="str">
        <f>'Simulado Final 2'!$S9/'Simulado Final 2'!$R9</f>
        <v>#DIV/0!</v>
      </c>
      <c r="U9" s="50"/>
      <c r="V9" s="64" t="s">
        <v>12</v>
      </c>
      <c r="W9" s="64">
        <v>0.0</v>
      </c>
      <c r="X9" s="64">
        <v>0.0</v>
      </c>
      <c r="Y9" s="65" t="str">
        <f>'Simulado Final 2'!$X9/'Simulado Final 2'!$W9</f>
        <v>#DIV/0!</v>
      </c>
      <c r="AA9" s="64" t="s">
        <v>12</v>
      </c>
      <c r="AB9" s="64">
        <v>0.0</v>
      </c>
      <c r="AC9" s="64">
        <v>0.0</v>
      </c>
      <c r="AD9" s="65" t="str">
        <f>'Simulado Final 2'!$AC9/'Simulado Final 2'!$AB9</f>
        <v>#DIV/0!</v>
      </c>
      <c r="AE9" s="50"/>
      <c r="AF9" s="64" t="s">
        <v>12</v>
      </c>
      <c r="AG9" s="64">
        <v>0.0</v>
      </c>
      <c r="AH9" s="64">
        <v>0.0</v>
      </c>
      <c r="AI9" s="65" t="str">
        <f>'Simulado Final 2'!$AH9/'Simulado Final 2'!$AG9</f>
        <v>#DIV/0!</v>
      </c>
      <c r="AJ9" s="50"/>
    </row>
    <row r="10">
      <c r="B10" s="64" t="s">
        <v>13</v>
      </c>
      <c r="C10" s="64">
        <v>0.0</v>
      </c>
      <c r="D10" s="64">
        <v>0.0</v>
      </c>
      <c r="E10" s="65" t="str">
        <f>'Simulado Final 2'!$D10/'Simulado Final 2'!$C10</f>
        <v>#DIV/0!</v>
      </c>
      <c r="F10" s="50"/>
      <c r="G10" s="64" t="s">
        <v>13</v>
      </c>
      <c r="H10" s="64">
        <v>0.0</v>
      </c>
      <c r="I10" s="64">
        <v>0.0</v>
      </c>
      <c r="J10" s="65" t="str">
        <f>'Simulado Final 2'!$I10/'Simulado Final 2'!$H10</f>
        <v>#DIV/0!</v>
      </c>
      <c r="K10" s="50"/>
      <c r="L10" s="64" t="s">
        <v>13</v>
      </c>
      <c r="M10" s="64">
        <v>0.0</v>
      </c>
      <c r="N10" s="64">
        <v>0.0</v>
      </c>
      <c r="O10" s="65" t="str">
        <f>'Simulado Final 2'!$N10/'Simulado Final 2'!$M10</f>
        <v>#DIV/0!</v>
      </c>
      <c r="P10" s="50"/>
      <c r="Q10" s="64" t="s">
        <v>13</v>
      </c>
      <c r="R10" s="64">
        <v>0.0</v>
      </c>
      <c r="S10" s="64">
        <v>0.0</v>
      </c>
      <c r="T10" s="65" t="str">
        <f>'Simulado Final 2'!$S10/'Simulado Final 2'!$R10</f>
        <v>#DIV/0!</v>
      </c>
      <c r="U10" s="50"/>
      <c r="V10" s="64" t="s">
        <v>13</v>
      </c>
      <c r="W10" s="64">
        <v>0.0</v>
      </c>
      <c r="X10" s="64">
        <v>0.0</v>
      </c>
      <c r="Y10" s="65" t="str">
        <f>'Simulado Final 2'!$X10/'Simulado Final 2'!$W10</f>
        <v>#DIV/0!</v>
      </c>
      <c r="AA10" s="64" t="s">
        <v>13</v>
      </c>
      <c r="AB10" s="64">
        <v>0.0</v>
      </c>
      <c r="AC10" s="64">
        <v>0.0</v>
      </c>
      <c r="AD10" s="65" t="str">
        <f>'Simulado Final 2'!$AC10/'Simulado Final 2'!$AB10</f>
        <v>#DIV/0!</v>
      </c>
      <c r="AE10" s="50"/>
      <c r="AF10" s="64" t="s">
        <v>13</v>
      </c>
      <c r="AG10" s="64">
        <v>0.0</v>
      </c>
      <c r="AH10" s="64">
        <v>0.0</v>
      </c>
      <c r="AI10" s="65" t="str">
        <f>'Simulado Final 2'!$AH10/'Simulado Final 2'!$AG10</f>
        <v>#DIV/0!</v>
      </c>
      <c r="AJ10" s="50"/>
    </row>
    <row r="11">
      <c r="B11" s="64" t="s">
        <v>14</v>
      </c>
      <c r="C11" s="64">
        <v>0.0</v>
      </c>
      <c r="D11" s="64">
        <v>0.0</v>
      </c>
      <c r="E11" s="65" t="str">
        <f>'Simulado Final 2'!$D11/'Simulado Final 2'!$C11</f>
        <v>#DIV/0!</v>
      </c>
      <c r="F11" s="50"/>
      <c r="G11" s="64" t="s">
        <v>14</v>
      </c>
      <c r="H11" s="64">
        <v>0.0</v>
      </c>
      <c r="I11" s="64">
        <v>0.0</v>
      </c>
      <c r="J11" s="65" t="str">
        <f>'Simulado Final 2'!$I11/'Simulado Final 2'!$H11</f>
        <v>#DIV/0!</v>
      </c>
      <c r="K11" s="50"/>
      <c r="L11" s="64" t="s">
        <v>14</v>
      </c>
      <c r="M11" s="64">
        <v>0.0</v>
      </c>
      <c r="N11" s="64">
        <v>0.0</v>
      </c>
      <c r="O11" s="65" t="str">
        <f>'Simulado Final 2'!$N11/'Simulado Final 2'!$M11</f>
        <v>#DIV/0!</v>
      </c>
      <c r="P11" s="50"/>
      <c r="Q11" s="64" t="s">
        <v>14</v>
      </c>
      <c r="R11" s="64">
        <v>0.0</v>
      </c>
      <c r="S11" s="64">
        <v>0.0</v>
      </c>
      <c r="T11" s="65" t="str">
        <f>'Simulado Final 2'!$S11/'Simulado Final 2'!$R11</f>
        <v>#DIV/0!</v>
      </c>
      <c r="U11" s="50"/>
      <c r="V11" s="64" t="s">
        <v>14</v>
      </c>
      <c r="W11" s="64">
        <v>0.0</v>
      </c>
      <c r="X11" s="64">
        <v>0.0</v>
      </c>
      <c r="Y11" s="65" t="str">
        <f>'Simulado Final 2'!$X11/'Simulado Final 2'!$W11</f>
        <v>#DIV/0!</v>
      </c>
      <c r="AA11" s="64" t="s">
        <v>14</v>
      </c>
      <c r="AB11" s="64">
        <v>0.0</v>
      </c>
      <c r="AC11" s="64">
        <v>0.0</v>
      </c>
      <c r="AD11" s="65" t="str">
        <f>'Simulado Final 2'!$AC11/'Simulado Final 2'!$AB11</f>
        <v>#DIV/0!</v>
      </c>
      <c r="AE11" s="50"/>
      <c r="AF11" s="64" t="s">
        <v>14</v>
      </c>
      <c r="AG11" s="64">
        <v>0.0</v>
      </c>
      <c r="AH11" s="64">
        <v>0.0</v>
      </c>
      <c r="AI11" s="65" t="str">
        <f>'Simulado Final 2'!$AH11/'Simulado Final 2'!$AG11</f>
        <v>#DIV/0!</v>
      </c>
      <c r="AJ11" s="50"/>
    </row>
    <row r="12">
      <c r="B12" s="64" t="s">
        <v>15</v>
      </c>
      <c r="C12" s="64">
        <v>0.0</v>
      </c>
      <c r="D12" s="64">
        <v>0.0</v>
      </c>
      <c r="E12" s="65" t="str">
        <f>'Simulado Final 2'!$D12/'Simulado Final 2'!$C12</f>
        <v>#DIV/0!</v>
      </c>
      <c r="F12" s="50"/>
      <c r="G12" s="64" t="s">
        <v>15</v>
      </c>
      <c r="H12" s="64">
        <v>0.0</v>
      </c>
      <c r="I12" s="64">
        <v>0.0</v>
      </c>
      <c r="J12" s="65" t="str">
        <f>'Simulado Final 2'!$I12/'Simulado Final 2'!$H12</f>
        <v>#DIV/0!</v>
      </c>
      <c r="K12" s="50"/>
      <c r="L12" s="64" t="s">
        <v>15</v>
      </c>
      <c r="M12" s="64">
        <v>0.0</v>
      </c>
      <c r="N12" s="64">
        <v>0.0</v>
      </c>
      <c r="O12" s="65" t="str">
        <f>'Simulado Final 2'!$N12/'Simulado Final 2'!$M12</f>
        <v>#DIV/0!</v>
      </c>
      <c r="P12" s="50"/>
      <c r="Q12" s="64" t="s">
        <v>15</v>
      </c>
      <c r="R12" s="64">
        <v>0.0</v>
      </c>
      <c r="S12" s="64">
        <v>0.0</v>
      </c>
      <c r="T12" s="65" t="str">
        <f>'Simulado Final 2'!$S12/'Simulado Final 2'!$R12</f>
        <v>#DIV/0!</v>
      </c>
      <c r="U12" s="50"/>
      <c r="V12" s="64" t="s">
        <v>15</v>
      </c>
      <c r="W12" s="64">
        <v>0.0</v>
      </c>
      <c r="X12" s="64">
        <v>0.0</v>
      </c>
      <c r="Y12" s="65" t="str">
        <f>'Simulado Final 2'!$X12/'Simulado Final 2'!$W12</f>
        <v>#DIV/0!</v>
      </c>
      <c r="AA12" s="64" t="s">
        <v>15</v>
      </c>
      <c r="AB12" s="64">
        <v>0.0</v>
      </c>
      <c r="AC12" s="64">
        <v>0.0</v>
      </c>
      <c r="AD12" s="65" t="str">
        <f>'Simulado Final 2'!$AC12/'Simulado Final 2'!$AB12</f>
        <v>#DIV/0!</v>
      </c>
      <c r="AE12" s="50"/>
      <c r="AF12" s="64" t="s">
        <v>15</v>
      </c>
      <c r="AG12" s="64">
        <v>0.0</v>
      </c>
      <c r="AH12" s="64">
        <v>0.0</v>
      </c>
      <c r="AI12" s="65" t="str">
        <f>'Simulado Final 2'!$AH12/'Simulado Final 2'!$AG12</f>
        <v>#DIV/0!</v>
      </c>
      <c r="AJ12" s="50"/>
    </row>
    <row r="13">
      <c r="B13" s="64" t="s">
        <v>16</v>
      </c>
      <c r="C13" s="64">
        <v>0.0</v>
      </c>
      <c r="D13" s="64">
        <v>0.0</v>
      </c>
      <c r="E13" s="65" t="str">
        <f>'Simulado Final 2'!$D13/'Simulado Final 2'!$C13</f>
        <v>#DIV/0!</v>
      </c>
      <c r="F13" s="50"/>
      <c r="G13" s="64" t="s">
        <v>16</v>
      </c>
      <c r="H13" s="64">
        <v>0.0</v>
      </c>
      <c r="I13" s="64">
        <v>0.0</v>
      </c>
      <c r="J13" s="65" t="str">
        <f>'Simulado Final 2'!$I13/'Simulado Final 2'!$H13</f>
        <v>#DIV/0!</v>
      </c>
      <c r="K13" s="50"/>
      <c r="L13" s="64" t="s">
        <v>16</v>
      </c>
      <c r="M13" s="64">
        <v>0.0</v>
      </c>
      <c r="N13" s="64">
        <v>0.0</v>
      </c>
      <c r="O13" s="65" t="str">
        <f>'Simulado Final 2'!$N13/'Simulado Final 2'!$M13</f>
        <v>#DIV/0!</v>
      </c>
      <c r="P13" s="50"/>
      <c r="Q13" s="64" t="s">
        <v>16</v>
      </c>
      <c r="R13" s="64">
        <v>0.0</v>
      </c>
      <c r="S13" s="64">
        <v>0.0</v>
      </c>
      <c r="T13" s="65" t="str">
        <f>'Simulado Final 2'!$S13/'Simulado Final 2'!$R13</f>
        <v>#DIV/0!</v>
      </c>
      <c r="U13" s="50"/>
      <c r="V13" s="64" t="s">
        <v>16</v>
      </c>
      <c r="W13" s="64">
        <v>0.0</v>
      </c>
      <c r="X13" s="64">
        <v>0.0</v>
      </c>
      <c r="Y13" s="65" t="str">
        <f>'Simulado Final 2'!$X13/'Simulado Final 2'!$W13</f>
        <v>#DIV/0!</v>
      </c>
      <c r="AA13" s="64" t="s">
        <v>16</v>
      </c>
      <c r="AB13" s="64">
        <v>0.0</v>
      </c>
      <c r="AC13" s="64">
        <v>0.0</v>
      </c>
      <c r="AD13" s="65" t="str">
        <f>'Simulado Final 2'!$AC13/'Simulado Final 2'!$AB13</f>
        <v>#DIV/0!</v>
      </c>
      <c r="AE13" s="50"/>
      <c r="AF13" s="64" t="s">
        <v>16</v>
      </c>
      <c r="AG13" s="64">
        <v>0.0</v>
      </c>
      <c r="AH13" s="64">
        <v>0.0</v>
      </c>
      <c r="AI13" s="65" t="str">
        <f>'Simulado Final 2'!$AH13/'Simulado Final 2'!$AG13</f>
        <v>#DIV/0!</v>
      </c>
      <c r="AJ13" s="50"/>
    </row>
    <row r="14">
      <c r="B14" s="64" t="s">
        <v>17</v>
      </c>
      <c r="C14" s="64">
        <v>0.0</v>
      </c>
      <c r="D14" s="64">
        <v>0.0</v>
      </c>
      <c r="E14" s="65" t="str">
        <f>'Simulado Final 2'!$D14/'Simulado Final 2'!$C14</f>
        <v>#DIV/0!</v>
      </c>
      <c r="F14" s="50"/>
      <c r="G14" s="64" t="s">
        <v>17</v>
      </c>
      <c r="H14" s="64">
        <v>0.0</v>
      </c>
      <c r="I14" s="64">
        <v>0.0</v>
      </c>
      <c r="J14" s="65" t="str">
        <f>'Simulado Final 2'!$I14/'Simulado Final 2'!$H14</f>
        <v>#DIV/0!</v>
      </c>
      <c r="K14" s="50"/>
      <c r="L14" s="64" t="s">
        <v>17</v>
      </c>
      <c r="M14" s="64">
        <v>0.0</v>
      </c>
      <c r="N14" s="64">
        <v>0.0</v>
      </c>
      <c r="O14" s="65" t="str">
        <f>'Simulado Final 2'!$N14/'Simulado Final 2'!$M14</f>
        <v>#DIV/0!</v>
      </c>
      <c r="P14" s="50"/>
      <c r="Q14" s="64" t="s">
        <v>17</v>
      </c>
      <c r="R14" s="64">
        <v>0.0</v>
      </c>
      <c r="S14" s="64">
        <v>0.0</v>
      </c>
      <c r="T14" s="65" t="str">
        <f>'Simulado Final 2'!$S14/'Simulado Final 2'!$R14</f>
        <v>#DIV/0!</v>
      </c>
      <c r="U14" s="50"/>
      <c r="V14" s="64" t="s">
        <v>17</v>
      </c>
      <c r="W14" s="64">
        <v>0.0</v>
      </c>
      <c r="X14" s="64">
        <v>0.0</v>
      </c>
      <c r="Y14" s="65" t="str">
        <f>'Simulado Final 2'!$X14/'Simulado Final 2'!$W14</f>
        <v>#DIV/0!</v>
      </c>
      <c r="AA14" s="64" t="s">
        <v>17</v>
      </c>
      <c r="AB14" s="64">
        <v>0.0</v>
      </c>
      <c r="AC14" s="64">
        <v>0.0</v>
      </c>
      <c r="AD14" s="65" t="str">
        <f>'Simulado Final 2'!$AC14/'Simulado Final 2'!$AB14</f>
        <v>#DIV/0!</v>
      </c>
      <c r="AE14" s="50"/>
      <c r="AF14" s="64" t="s">
        <v>17</v>
      </c>
      <c r="AG14" s="64">
        <v>0.0</v>
      </c>
      <c r="AH14" s="64">
        <v>0.0</v>
      </c>
      <c r="AI14" s="65" t="str">
        <f>'Simulado Final 2'!$AH14/'Simulado Final 2'!$AG14</f>
        <v>#DIV/0!</v>
      </c>
      <c r="AJ14" s="50"/>
    </row>
    <row r="15">
      <c r="B15" s="64" t="s">
        <v>18</v>
      </c>
      <c r="C15" s="64">
        <v>0.0</v>
      </c>
      <c r="D15" s="64">
        <v>0.0</v>
      </c>
      <c r="E15" s="65" t="str">
        <f>'Simulado Final 2'!$D15/'Simulado Final 2'!$C15</f>
        <v>#DIV/0!</v>
      </c>
      <c r="F15" s="50"/>
      <c r="G15" s="64" t="s">
        <v>18</v>
      </c>
      <c r="H15" s="64">
        <v>0.0</v>
      </c>
      <c r="I15" s="64">
        <v>0.0</v>
      </c>
      <c r="J15" s="65" t="str">
        <f>'Simulado Final 2'!$I15/'Simulado Final 2'!$H15</f>
        <v>#DIV/0!</v>
      </c>
      <c r="K15" s="50"/>
      <c r="L15" s="64" t="s">
        <v>18</v>
      </c>
      <c r="M15" s="64">
        <v>0.0</v>
      </c>
      <c r="N15" s="64">
        <v>0.0</v>
      </c>
      <c r="O15" s="65" t="str">
        <f>'Simulado Final 2'!$N15/'Simulado Final 2'!$M15</f>
        <v>#DIV/0!</v>
      </c>
      <c r="P15" s="50"/>
      <c r="Q15" s="64" t="s">
        <v>18</v>
      </c>
      <c r="R15" s="64">
        <v>0.0</v>
      </c>
      <c r="S15" s="64">
        <v>0.0</v>
      </c>
      <c r="T15" s="65" t="str">
        <f>'Simulado Final 2'!$S15/'Simulado Final 2'!$R15</f>
        <v>#DIV/0!</v>
      </c>
      <c r="U15" s="50"/>
      <c r="V15" s="64" t="s">
        <v>18</v>
      </c>
      <c r="W15" s="64">
        <v>0.0</v>
      </c>
      <c r="X15" s="64">
        <v>0.0</v>
      </c>
      <c r="Y15" s="65" t="str">
        <f>'Simulado Final 2'!$X15/'Simulado Final 2'!$W15</f>
        <v>#DIV/0!</v>
      </c>
      <c r="AA15" s="64" t="s">
        <v>18</v>
      </c>
      <c r="AB15" s="64">
        <v>0.0</v>
      </c>
      <c r="AC15" s="64">
        <v>0.0</v>
      </c>
      <c r="AD15" s="65" t="str">
        <f>'Simulado Final 2'!$AC15/'Simulado Final 2'!$AB15</f>
        <v>#DIV/0!</v>
      </c>
      <c r="AE15" s="50"/>
      <c r="AF15" s="64" t="s">
        <v>18</v>
      </c>
      <c r="AG15" s="64">
        <v>0.0</v>
      </c>
      <c r="AH15" s="64">
        <v>0.0</v>
      </c>
      <c r="AI15" s="65" t="str">
        <f>'Simulado Final 2'!$AH15/'Simulado Final 2'!$AG15</f>
        <v>#DIV/0!</v>
      </c>
      <c r="AJ15" s="50"/>
    </row>
    <row r="16">
      <c r="B16" s="64" t="s">
        <v>19</v>
      </c>
      <c r="C16" s="64">
        <v>0.0</v>
      </c>
      <c r="D16" s="64">
        <v>0.0</v>
      </c>
      <c r="E16" s="65" t="str">
        <f>'Simulado Final 2'!$D16/'Simulado Final 2'!$C16</f>
        <v>#DIV/0!</v>
      </c>
      <c r="F16" s="50"/>
      <c r="G16" s="64" t="s">
        <v>19</v>
      </c>
      <c r="H16" s="64">
        <v>0.0</v>
      </c>
      <c r="I16" s="64">
        <v>0.0</v>
      </c>
      <c r="J16" s="65" t="str">
        <f>'Simulado Final 2'!$I16/'Simulado Final 2'!$H16</f>
        <v>#DIV/0!</v>
      </c>
      <c r="K16" s="50"/>
      <c r="L16" s="64" t="s">
        <v>19</v>
      </c>
      <c r="M16" s="64">
        <v>0.0</v>
      </c>
      <c r="N16" s="64">
        <v>0.0</v>
      </c>
      <c r="O16" s="65" t="str">
        <f>'Simulado Final 2'!$N16/'Simulado Final 2'!$M16</f>
        <v>#DIV/0!</v>
      </c>
      <c r="P16" s="50"/>
      <c r="Q16" s="64" t="s">
        <v>19</v>
      </c>
      <c r="R16" s="64">
        <v>0.0</v>
      </c>
      <c r="S16" s="64">
        <v>0.0</v>
      </c>
      <c r="T16" s="65" t="str">
        <f>'Simulado Final 2'!$S16/'Simulado Final 2'!$R16</f>
        <v>#DIV/0!</v>
      </c>
      <c r="U16" s="50"/>
      <c r="V16" s="64" t="s">
        <v>19</v>
      </c>
      <c r="W16" s="64">
        <v>0.0</v>
      </c>
      <c r="X16" s="64">
        <v>0.0</v>
      </c>
      <c r="Y16" s="65" t="str">
        <f>'Simulado Final 2'!$X16/'Simulado Final 2'!$W16</f>
        <v>#DIV/0!</v>
      </c>
      <c r="AA16" s="64" t="s">
        <v>19</v>
      </c>
      <c r="AB16" s="64">
        <v>0.0</v>
      </c>
      <c r="AC16" s="64">
        <v>0.0</v>
      </c>
      <c r="AD16" s="65" t="str">
        <f>'Simulado Final 2'!$AC16/'Simulado Final 2'!$AB16</f>
        <v>#DIV/0!</v>
      </c>
      <c r="AE16" s="50"/>
      <c r="AF16" s="64" t="s">
        <v>19</v>
      </c>
      <c r="AG16" s="64">
        <v>0.0</v>
      </c>
      <c r="AH16" s="64">
        <v>0.0</v>
      </c>
      <c r="AI16" s="65" t="str">
        <f>'Simulado Final 2'!$AH16/'Simulado Final 2'!$AG16</f>
        <v>#DIV/0!</v>
      </c>
      <c r="AJ16" s="50"/>
    </row>
    <row r="17">
      <c r="B17" s="64" t="s">
        <v>20</v>
      </c>
      <c r="C17" s="64">
        <v>0.0</v>
      </c>
      <c r="D17" s="64">
        <v>0.0</v>
      </c>
      <c r="E17" s="65" t="str">
        <f>'Simulado Final 2'!$D17/'Simulado Final 2'!$C17</f>
        <v>#DIV/0!</v>
      </c>
      <c r="F17" s="50"/>
      <c r="G17" s="64" t="s">
        <v>20</v>
      </c>
      <c r="H17" s="64">
        <v>0.0</v>
      </c>
      <c r="I17" s="64">
        <v>0.0</v>
      </c>
      <c r="J17" s="65" t="str">
        <f>'Simulado Final 2'!$I17/'Simulado Final 2'!$H17</f>
        <v>#DIV/0!</v>
      </c>
      <c r="K17" s="50"/>
      <c r="L17" s="64" t="s">
        <v>20</v>
      </c>
      <c r="M17" s="64">
        <v>0.0</v>
      </c>
      <c r="N17" s="64">
        <v>0.0</v>
      </c>
      <c r="O17" s="65" t="str">
        <f>'Simulado Final 2'!$N17/'Simulado Final 2'!$M17</f>
        <v>#DIV/0!</v>
      </c>
      <c r="P17" s="50"/>
      <c r="Q17" s="64" t="s">
        <v>20</v>
      </c>
      <c r="R17" s="64">
        <v>0.0</v>
      </c>
      <c r="S17" s="64">
        <v>0.0</v>
      </c>
      <c r="T17" s="65" t="str">
        <f>'Simulado Final 2'!$S17/'Simulado Final 2'!$R17</f>
        <v>#DIV/0!</v>
      </c>
      <c r="U17" s="50"/>
      <c r="V17" s="64" t="s">
        <v>20</v>
      </c>
      <c r="W17" s="64">
        <v>0.0</v>
      </c>
      <c r="X17" s="64">
        <v>0.0</v>
      </c>
      <c r="Y17" s="65" t="str">
        <f>'Simulado Final 2'!$X17/'Simulado Final 2'!$W17</f>
        <v>#DIV/0!</v>
      </c>
      <c r="AA17" s="64" t="s">
        <v>20</v>
      </c>
      <c r="AB17" s="64">
        <v>0.0</v>
      </c>
      <c r="AC17" s="64">
        <v>0.0</v>
      </c>
      <c r="AD17" s="65" t="str">
        <f>'Simulado Final 2'!$AC17/'Simulado Final 2'!$AB17</f>
        <v>#DIV/0!</v>
      </c>
      <c r="AE17" s="50"/>
      <c r="AF17" s="64" t="s">
        <v>20</v>
      </c>
      <c r="AG17" s="64">
        <v>0.0</v>
      </c>
      <c r="AH17" s="64">
        <v>0.0</v>
      </c>
      <c r="AI17" s="65" t="str">
        <f>'Simulado Final 2'!$AH17/'Simulado Final 2'!$AG17</f>
        <v>#DIV/0!</v>
      </c>
      <c r="AJ17" s="50"/>
    </row>
    <row r="18">
      <c r="B18" s="64" t="s">
        <v>21</v>
      </c>
      <c r="C18" s="64">
        <v>0.0</v>
      </c>
      <c r="D18" s="64">
        <v>0.0</v>
      </c>
      <c r="E18" s="65" t="str">
        <f>'Simulado Final 2'!$D18/'Simulado Final 2'!$C18</f>
        <v>#DIV/0!</v>
      </c>
      <c r="F18" s="50"/>
      <c r="G18" s="64" t="s">
        <v>21</v>
      </c>
      <c r="H18" s="64">
        <v>0.0</v>
      </c>
      <c r="I18" s="64">
        <v>0.0</v>
      </c>
      <c r="J18" s="65" t="str">
        <f>'Simulado Final 2'!$I18/'Simulado Final 2'!$H18</f>
        <v>#DIV/0!</v>
      </c>
      <c r="K18" s="50"/>
      <c r="L18" s="64" t="s">
        <v>21</v>
      </c>
      <c r="M18" s="64">
        <v>0.0</v>
      </c>
      <c r="N18" s="64">
        <v>0.0</v>
      </c>
      <c r="O18" s="65" t="str">
        <f>'Simulado Final 2'!$N18/'Simulado Final 2'!$M18</f>
        <v>#DIV/0!</v>
      </c>
      <c r="P18" s="50"/>
      <c r="Q18" s="64" t="s">
        <v>21</v>
      </c>
      <c r="R18" s="64">
        <v>0.0</v>
      </c>
      <c r="S18" s="64">
        <v>0.0</v>
      </c>
      <c r="T18" s="65" t="str">
        <f>'Simulado Final 2'!$S18/'Simulado Final 2'!$R18</f>
        <v>#DIV/0!</v>
      </c>
      <c r="U18" s="50"/>
      <c r="V18" s="64" t="s">
        <v>21</v>
      </c>
      <c r="W18" s="64">
        <v>0.0</v>
      </c>
      <c r="X18" s="64">
        <v>0.0</v>
      </c>
      <c r="Y18" s="65" t="str">
        <f>'Simulado Final 2'!$X18/'Simulado Final 2'!$W18</f>
        <v>#DIV/0!</v>
      </c>
      <c r="AA18" s="64" t="s">
        <v>21</v>
      </c>
      <c r="AB18" s="64">
        <v>0.0</v>
      </c>
      <c r="AC18" s="64">
        <v>0.0</v>
      </c>
      <c r="AD18" s="65" t="str">
        <f>'Simulado Final 2'!$AC18/'Simulado Final 2'!$AB18</f>
        <v>#DIV/0!</v>
      </c>
      <c r="AE18" s="50"/>
      <c r="AF18" s="64" t="s">
        <v>21</v>
      </c>
      <c r="AG18" s="64">
        <v>0.0</v>
      </c>
      <c r="AH18" s="64">
        <v>0.0</v>
      </c>
      <c r="AI18" s="65" t="str">
        <f>'Simulado Final 2'!$AH18/'Simulado Final 2'!$AG18</f>
        <v>#DIV/0!</v>
      </c>
      <c r="AJ18" s="50"/>
    </row>
    <row r="19">
      <c r="B19" s="64" t="s">
        <v>22</v>
      </c>
      <c r="C19" s="64">
        <v>0.0</v>
      </c>
      <c r="D19" s="64">
        <v>0.0</v>
      </c>
      <c r="E19" s="65" t="str">
        <f>'Simulado Final 2'!$D19/'Simulado Final 2'!$C19</f>
        <v>#DIV/0!</v>
      </c>
      <c r="F19" s="50"/>
      <c r="G19" s="64" t="s">
        <v>22</v>
      </c>
      <c r="H19" s="64">
        <v>0.0</v>
      </c>
      <c r="I19" s="64">
        <v>0.0</v>
      </c>
      <c r="J19" s="65" t="str">
        <f>'Simulado Final 2'!$I19/'Simulado Final 2'!$H19</f>
        <v>#DIV/0!</v>
      </c>
      <c r="K19" s="50"/>
      <c r="L19" s="64" t="s">
        <v>22</v>
      </c>
      <c r="M19" s="64">
        <v>0.0</v>
      </c>
      <c r="N19" s="64">
        <v>0.0</v>
      </c>
      <c r="O19" s="65" t="str">
        <f>'Simulado Final 2'!$N19/'Simulado Final 2'!$M19</f>
        <v>#DIV/0!</v>
      </c>
      <c r="P19" s="50"/>
      <c r="Q19" s="64" t="s">
        <v>22</v>
      </c>
      <c r="R19" s="64">
        <v>0.0</v>
      </c>
      <c r="S19" s="64">
        <v>0.0</v>
      </c>
      <c r="T19" s="65" t="str">
        <f>'Simulado Final 2'!$S19/'Simulado Final 2'!$R19</f>
        <v>#DIV/0!</v>
      </c>
      <c r="U19" s="50"/>
      <c r="V19" s="64" t="s">
        <v>22</v>
      </c>
      <c r="W19" s="64">
        <v>0.0</v>
      </c>
      <c r="X19" s="64">
        <v>0.0</v>
      </c>
      <c r="Y19" s="65" t="str">
        <f>'Simulado Final 2'!$X19/'Simulado Final 2'!$W19</f>
        <v>#DIV/0!</v>
      </c>
      <c r="AA19" s="64" t="s">
        <v>22</v>
      </c>
      <c r="AB19" s="64">
        <v>0.0</v>
      </c>
      <c r="AC19" s="64">
        <v>0.0</v>
      </c>
      <c r="AD19" s="65" t="str">
        <f>'Simulado Final 2'!$AC19/'Simulado Final 2'!$AB19</f>
        <v>#DIV/0!</v>
      </c>
      <c r="AE19" s="50"/>
      <c r="AF19" s="64" t="s">
        <v>22</v>
      </c>
      <c r="AG19" s="64">
        <v>0.0</v>
      </c>
      <c r="AH19" s="64">
        <v>0.0</v>
      </c>
      <c r="AI19" s="65" t="str">
        <f>'Simulado Final 2'!$AH19/'Simulado Final 2'!$AG19</f>
        <v>#DIV/0!</v>
      </c>
      <c r="AJ19" s="50"/>
    </row>
    <row r="20">
      <c r="B20" s="64" t="s">
        <v>23</v>
      </c>
      <c r="C20" s="64">
        <v>0.0</v>
      </c>
      <c r="D20" s="64">
        <v>0.0</v>
      </c>
      <c r="E20" s="65" t="str">
        <f>'Simulado Final 2'!$D20/'Simulado Final 2'!$C20</f>
        <v>#DIV/0!</v>
      </c>
      <c r="F20" s="50"/>
      <c r="G20" s="64" t="s">
        <v>23</v>
      </c>
      <c r="H20" s="64">
        <v>0.0</v>
      </c>
      <c r="I20" s="64">
        <v>0.0</v>
      </c>
      <c r="J20" s="65" t="str">
        <f>'Simulado Final 2'!$I20/'Simulado Final 2'!$H20</f>
        <v>#DIV/0!</v>
      </c>
      <c r="K20" s="50"/>
      <c r="L20" s="64" t="s">
        <v>23</v>
      </c>
      <c r="M20" s="64">
        <v>0.0</v>
      </c>
      <c r="N20" s="64">
        <v>0.0</v>
      </c>
      <c r="O20" s="65" t="str">
        <f>'Simulado Final 2'!$N20/'Simulado Final 2'!$M20</f>
        <v>#DIV/0!</v>
      </c>
      <c r="P20" s="50"/>
      <c r="Q20" s="64" t="s">
        <v>23</v>
      </c>
      <c r="R20" s="64">
        <v>0.0</v>
      </c>
      <c r="S20" s="64">
        <v>0.0</v>
      </c>
      <c r="T20" s="65" t="str">
        <f>'Simulado Final 2'!$S20/'Simulado Final 2'!$R20</f>
        <v>#DIV/0!</v>
      </c>
      <c r="U20" s="50"/>
      <c r="V20" s="64" t="s">
        <v>23</v>
      </c>
      <c r="W20" s="64">
        <v>0.0</v>
      </c>
      <c r="X20" s="64">
        <v>0.0</v>
      </c>
      <c r="Y20" s="65" t="str">
        <f>'Simulado Final 2'!$X20/'Simulado Final 2'!$W20</f>
        <v>#DIV/0!</v>
      </c>
      <c r="AA20" s="64" t="s">
        <v>23</v>
      </c>
      <c r="AB20" s="64">
        <v>0.0</v>
      </c>
      <c r="AC20" s="64">
        <v>0.0</v>
      </c>
      <c r="AD20" s="65" t="str">
        <f>'Simulado Final 2'!$AC20/'Simulado Final 2'!$AB20</f>
        <v>#DIV/0!</v>
      </c>
      <c r="AE20" s="50"/>
      <c r="AF20" s="64" t="s">
        <v>23</v>
      </c>
      <c r="AG20" s="64">
        <v>0.0</v>
      </c>
      <c r="AH20" s="64">
        <v>0.0</v>
      </c>
      <c r="AI20" s="65" t="str">
        <f>'Simulado Final 2'!$AH20/'Simulado Final 2'!$AG20</f>
        <v>#DIV/0!</v>
      </c>
      <c r="AJ20" s="50"/>
    </row>
    <row r="21" ht="15.75" customHeight="1">
      <c r="B21" s="64" t="s">
        <v>24</v>
      </c>
      <c r="C21" s="64">
        <v>0.0</v>
      </c>
      <c r="D21" s="64">
        <v>0.0</v>
      </c>
      <c r="E21" s="65" t="str">
        <f>'Simulado Final 2'!$D21/'Simulado Final 2'!$C21</f>
        <v>#DIV/0!</v>
      </c>
      <c r="F21" s="50"/>
      <c r="G21" s="64" t="s">
        <v>24</v>
      </c>
      <c r="H21" s="64">
        <v>0.0</v>
      </c>
      <c r="I21" s="64">
        <v>0.0</v>
      </c>
      <c r="J21" s="65" t="str">
        <f>'Simulado Final 2'!$I21/'Simulado Final 2'!$H21</f>
        <v>#DIV/0!</v>
      </c>
      <c r="K21" s="50"/>
      <c r="L21" s="64" t="s">
        <v>24</v>
      </c>
      <c r="M21" s="64">
        <v>0.0</v>
      </c>
      <c r="N21" s="64">
        <v>0.0</v>
      </c>
      <c r="O21" s="65" t="str">
        <f>'Simulado Final 2'!$N21/'Simulado Final 2'!$M21</f>
        <v>#DIV/0!</v>
      </c>
      <c r="P21" s="50"/>
      <c r="Q21" s="64" t="s">
        <v>24</v>
      </c>
      <c r="R21" s="64">
        <v>0.0</v>
      </c>
      <c r="S21" s="64">
        <v>0.0</v>
      </c>
      <c r="T21" s="65" t="str">
        <f>'Simulado Final 2'!$S21/'Simulado Final 2'!$R21</f>
        <v>#DIV/0!</v>
      </c>
      <c r="U21" s="50"/>
      <c r="V21" s="64" t="s">
        <v>24</v>
      </c>
      <c r="W21" s="64">
        <v>0.0</v>
      </c>
      <c r="X21" s="64">
        <v>0.0</v>
      </c>
      <c r="Y21" s="65" t="str">
        <f>'Simulado Final 2'!$X21/'Simulado Final 2'!$W21</f>
        <v>#DIV/0!</v>
      </c>
      <c r="AA21" s="64" t="s">
        <v>24</v>
      </c>
      <c r="AB21" s="64">
        <v>0.0</v>
      </c>
      <c r="AC21" s="64">
        <v>0.0</v>
      </c>
      <c r="AD21" s="65" t="str">
        <f>'Simulado Final 2'!$AC21/'Simulado Final 2'!$AB21</f>
        <v>#DIV/0!</v>
      </c>
      <c r="AE21" s="50"/>
      <c r="AF21" s="64" t="s">
        <v>24</v>
      </c>
      <c r="AG21" s="64">
        <v>0.0</v>
      </c>
      <c r="AH21" s="64">
        <v>0.0</v>
      </c>
      <c r="AI21" s="65" t="str">
        <f>'Simulado Final 2'!$AH21/'Simulado Final 2'!$AG21</f>
        <v>#DIV/0!</v>
      </c>
      <c r="AJ21" s="50"/>
    </row>
    <row r="22" ht="15.75" customHeight="1">
      <c r="B22" s="64" t="s">
        <v>25</v>
      </c>
      <c r="C22" s="64">
        <v>0.0</v>
      </c>
      <c r="D22" s="64">
        <v>0.0</v>
      </c>
      <c r="E22" s="65" t="str">
        <f>'Simulado Final 2'!$D22/'Simulado Final 2'!$C22</f>
        <v>#DIV/0!</v>
      </c>
      <c r="F22" s="50"/>
      <c r="G22" s="64" t="s">
        <v>25</v>
      </c>
      <c r="H22" s="64">
        <v>0.0</v>
      </c>
      <c r="I22" s="64">
        <v>0.0</v>
      </c>
      <c r="J22" s="65" t="str">
        <f>'Simulado Final 2'!$I22/'Simulado Final 2'!$H22</f>
        <v>#DIV/0!</v>
      </c>
      <c r="K22" s="50"/>
      <c r="L22" s="64" t="s">
        <v>25</v>
      </c>
      <c r="M22" s="64">
        <v>0.0</v>
      </c>
      <c r="N22" s="64">
        <v>0.0</v>
      </c>
      <c r="O22" s="65" t="str">
        <f>'Simulado Final 2'!$N22/'Simulado Final 2'!$M22</f>
        <v>#DIV/0!</v>
      </c>
      <c r="P22" s="50"/>
      <c r="Q22" s="64" t="s">
        <v>25</v>
      </c>
      <c r="R22" s="64">
        <v>0.0</v>
      </c>
      <c r="S22" s="64">
        <v>0.0</v>
      </c>
      <c r="T22" s="65" t="str">
        <f>'Simulado Final 2'!$S22/'Simulado Final 2'!$R22</f>
        <v>#DIV/0!</v>
      </c>
      <c r="U22" s="50"/>
      <c r="V22" s="64" t="s">
        <v>25</v>
      </c>
      <c r="W22" s="64">
        <v>0.0</v>
      </c>
      <c r="X22" s="64">
        <v>0.0</v>
      </c>
      <c r="Y22" s="65" t="str">
        <f>'Simulado Final 2'!$X22/'Simulado Final 2'!$W22</f>
        <v>#DIV/0!</v>
      </c>
      <c r="AA22" s="64" t="s">
        <v>25</v>
      </c>
      <c r="AB22" s="64">
        <v>0.0</v>
      </c>
      <c r="AC22" s="64">
        <v>0.0</v>
      </c>
      <c r="AD22" s="65" t="str">
        <f>'Simulado Final 2'!$AC22/'Simulado Final 2'!$AB22</f>
        <v>#DIV/0!</v>
      </c>
      <c r="AE22" s="50"/>
      <c r="AF22" s="64" t="s">
        <v>25</v>
      </c>
      <c r="AG22" s="64">
        <v>0.0</v>
      </c>
      <c r="AH22" s="64">
        <v>0.0</v>
      </c>
      <c r="AI22" s="65" t="str">
        <f>'Simulado Final 2'!$AH22/'Simulado Final 2'!$AG22</f>
        <v>#DIV/0!</v>
      </c>
      <c r="AJ22" s="50"/>
    </row>
    <row r="23" ht="15.75" customHeight="1">
      <c r="B23" s="64" t="s">
        <v>26</v>
      </c>
      <c r="C23" s="64">
        <v>0.0</v>
      </c>
      <c r="D23" s="64">
        <v>0.0</v>
      </c>
      <c r="E23" s="65" t="str">
        <f>'Simulado Final 2'!$D23/'Simulado Final 2'!$C23</f>
        <v>#DIV/0!</v>
      </c>
      <c r="F23" s="50"/>
      <c r="G23" s="64" t="s">
        <v>26</v>
      </c>
      <c r="H23" s="64">
        <v>0.0</v>
      </c>
      <c r="I23" s="64">
        <v>0.0</v>
      </c>
      <c r="J23" s="65" t="str">
        <f>'Simulado Final 2'!$I23/'Simulado Final 2'!$H23</f>
        <v>#DIV/0!</v>
      </c>
      <c r="K23" s="50"/>
      <c r="L23" s="64" t="s">
        <v>26</v>
      </c>
      <c r="M23" s="64">
        <v>0.0</v>
      </c>
      <c r="N23" s="64">
        <v>0.0</v>
      </c>
      <c r="O23" s="65" t="str">
        <f>'Simulado Final 2'!$N23/'Simulado Final 2'!$M23</f>
        <v>#DIV/0!</v>
      </c>
      <c r="P23" s="50"/>
      <c r="Q23" s="64" t="s">
        <v>26</v>
      </c>
      <c r="R23" s="64">
        <v>0.0</v>
      </c>
      <c r="S23" s="64">
        <v>0.0</v>
      </c>
      <c r="T23" s="65" t="str">
        <f>'Simulado Final 2'!$S23/'Simulado Final 2'!$R23</f>
        <v>#DIV/0!</v>
      </c>
      <c r="U23" s="50"/>
      <c r="V23" s="64" t="s">
        <v>26</v>
      </c>
      <c r="W23" s="64">
        <v>0.0</v>
      </c>
      <c r="X23" s="64">
        <v>0.0</v>
      </c>
      <c r="Y23" s="65" t="str">
        <f>'Simulado Final 2'!$X23/'Simulado Final 2'!$W23</f>
        <v>#DIV/0!</v>
      </c>
      <c r="AA23" s="64" t="s">
        <v>26</v>
      </c>
      <c r="AB23" s="64">
        <v>0.0</v>
      </c>
      <c r="AC23" s="64">
        <v>0.0</v>
      </c>
      <c r="AD23" s="65" t="str">
        <f>'Simulado Final 2'!$AC23/'Simulado Final 2'!$AB23</f>
        <v>#DIV/0!</v>
      </c>
      <c r="AE23" s="50"/>
      <c r="AF23" s="64" t="s">
        <v>26</v>
      </c>
      <c r="AG23" s="64">
        <v>0.0</v>
      </c>
      <c r="AH23" s="64">
        <v>0.0</v>
      </c>
      <c r="AI23" s="65" t="str">
        <f>'Simulado Final 2'!$AH23/'Simulado Final 2'!$AG23</f>
        <v>#DIV/0!</v>
      </c>
      <c r="AJ23" s="50"/>
    </row>
    <row r="24" ht="15.75" customHeight="1">
      <c r="B24" s="64" t="s">
        <v>27</v>
      </c>
      <c r="C24" s="64">
        <v>0.0</v>
      </c>
      <c r="D24" s="64">
        <v>0.0</v>
      </c>
      <c r="E24" s="65" t="str">
        <f>'Simulado Final 2'!$D24/'Simulado Final 2'!$C24</f>
        <v>#DIV/0!</v>
      </c>
      <c r="F24" s="50"/>
      <c r="G24" s="64" t="s">
        <v>27</v>
      </c>
      <c r="H24" s="64">
        <v>0.0</v>
      </c>
      <c r="I24" s="64">
        <v>0.0</v>
      </c>
      <c r="J24" s="65" t="str">
        <f>'Simulado Final 2'!$I24/'Simulado Final 2'!$H24</f>
        <v>#DIV/0!</v>
      </c>
      <c r="K24" s="50"/>
      <c r="L24" s="64" t="s">
        <v>27</v>
      </c>
      <c r="M24" s="64">
        <v>0.0</v>
      </c>
      <c r="N24" s="64">
        <v>0.0</v>
      </c>
      <c r="O24" s="65" t="str">
        <f>'Simulado Final 2'!$N24/'Simulado Final 2'!$M24</f>
        <v>#DIV/0!</v>
      </c>
      <c r="P24" s="50"/>
      <c r="Q24" s="64" t="s">
        <v>27</v>
      </c>
      <c r="R24" s="64">
        <v>0.0</v>
      </c>
      <c r="S24" s="64">
        <v>0.0</v>
      </c>
      <c r="T24" s="65" t="str">
        <f>'Simulado Final 2'!$S24/'Simulado Final 2'!$R24</f>
        <v>#DIV/0!</v>
      </c>
      <c r="U24" s="50"/>
      <c r="V24" s="64" t="s">
        <v>27</v>
      </c>
      <c r="W24" s="64">
        <v>0.0</v>
      </c>
      <c r="X24" s="64">
        <v>0.0</v>
      </c>
      <c r="Y24" s="65" t="str">
        <f>'Simulado Final 2'!$X24/'Simulado Final 2'!$W24</f>
        <v>#DIV/0!</v>
      </c>
      <c r="AA24" s="64" t="s">
        <v>27</v>
      </c>
      <c r="AB24" s="64">
        <v>0.0</v>
      </c>
      <c r="AC24" s="64">
        <v>0.0</v>
      </c>
      <c r="AD24" s="65" t="str">
        <f>'Simulado Final 2'!$AC24/'Simulado Final 2'!$AB24</f>
        <v>#DIV/0!</v>
      </c>
      <c r="AE24" s="50"/>
      <c r="AF24" s="64" t="s">
        <v>27</v>
      </c>
      <c r="AG24" s="64">
        <v>0.0</v>
      </c>
      <c r="AH24" s="64">
        <v>0.0</v>
      </c>
      <c r="AI24" s="65" t="str">
        <f>'Simulado Final 2'!$AH24/'Simulado Final 2'!$AG24</f>
        <v>#DIV/0!</v>
      </c>
      <c r="AJ24" s="50"/>
    </row>
    <row r="25" ht="15.75" customHeight="1">
      <c r="B25" s="66"/>
      <c r="C25" s="66"/>
      <c r="D25" s="66"/>
      <c r="E25" s="66"/>
    </row>
    <row r="26" ht="15.75" customHeight="1">
      <c r="B26" s="67" t="s">
        <v>1</v>
      </c>
      <c r="C26" s="68"/>
      <c r="D26" s="68"/>
      <c r="E26" s="68"/>
    </row>
    <row r="27" ht="15.75" customHeight="1">
      <c r="B27" s="60" t="s">
        <v>359</v>
      </c>
      <c r="C27" s="61"/>
      <c r="D27" s="61"/>
      <c r="E27" s="62"/>
    </row>
    <row r="28" ht="15.75" customHeight="1">
      <c r="B28" s="63" t="s">
        <v>3</v>
      </c>
      <c r="C28" s="63" t="s">
        <v>6</v>
      </c>
      <c r="D28" s="63" t="s">
        <v>47</v>
      </c>
      <c r="E28" s="63" t="s">
        <v>7</v>
      </c>
    </row>
    <row r="29" ht="15.75" customHeight="1">
      <c r="B29" s="64" t="s">
        <v>8</v>
      </c>
      <c r="C29" s="64">
        <f t="shared" ref="C29:D29" si="1">SUM(C5,H5,M5,R5,W5,AB5,AG5)</f>
        <v>0</v>
      </c>
      <c r="D29" s="64">
        <f t="shared" si="1"/>
        <v>0</v>
      </c>
      <c r="E29" s="65" t="str">
        <f>'Simulado Final 2'!$D29/'Simulado Final 2'!$C29</f>
        <v>#DIV/0!</v>
      </c>
    </row>
    <row r="30" ht="15.75" customHeight="1">
      <c r="B30" s="64" t="s">
        <v>9</v>
      </c>
      <c r="C30" s="64">
        <f t="shared" ref="C30:D30" si="2">SUM(C6,H6,M6,R6,W6,AB6,AG6)</f>
        <v>0</v>
      </c>
      <c r="D30" s="64">
        <f t="shared" si="2"/>
        <v>0</v>
      </c>
      <c r="E30" s="65" t="str">
        <f>'Simulado Final 2'!$D30/'Simulado Final 2'!$C30</f>
        <v>#DIV/0!</v>
      </c>
    </row>
    <row r="31" ht="15.75" customHeight="1">
      <c r="B31" s="64" t="s">
        <v>10</v>
      </c>
      <c r="C31" s="64">
        <f t="shared" ref="C31:D31" si="3">SUM(C7,H7,M7,R7,W7,AB7,AG7)</f>
        <v>0</v>
      </c>
      <c r="D31" s="64">
        <f t="shared" si="3"/>
        <v>0</v>
      </c>
      <c r="E31" s="65" t="str">
        <f>'Simulado Final 2'!$D31/'Simulado Final 2'!$C31</f>
        <v>#DIV/0!</v>
      </c>
    </row>
    <row r="32" ht="15.75" customHeight="1">
      <c r="B32" s="64" t="s">
        <v>11</v>
      </c>
      <c r="C32" s="64">
        <f t="shared" ref="C32:D32" si="4">SUM(C8,H8,M8,R8,W8,AB8,AG8)</f>
        <v>0</v>
      </c>
      <c r="D32" s="64">
        <f t="shared" si="4"/>
        <v>0</v>
      </c>
      <c r="E32" s="65" t="str">
        <f>'Simulado Final 2'!$D32/'Simulado Final 2'!$C32</f>
        <v>#DIV/0!</v>
      </c>
    </row>
    <row r="33" ht="15.75" customHeight="1">
      <c r="B33" s="64" t="s">
        <v>12</v>
      </c>
      <c r="C33" s="64">
        <f t="shared" ref="C33:D33" si="5">SUM(C9,H9,M9,R9,W9,AB9,AG9)</f>
        <v>0</v>
      </c>
      <c r="D33" s="64">
        <f t="shared" si="5"/>
        <v>0</v>
      </c>
      <c r="E33" s="65" t="str">
        <f>'Simulado Final 2'!$D33/'Simulado Final 2'!$C33</f>
        <v>#DIV/0!</v>
      </c>
    </row>
    <row r="34" ht="15.75" customHeight="1">
      <c r="B34" s="64" t="s">
        <v>13</v>
      </c>
      <c r="C34" s="64">
        <f t="shared" ref="C34:D34" si="6">SUM(C10,H10,M10,R10,W10,AB10,AG10)</f>
        <v>0</v>
      </c>
      <c r="D34" s="64">
        <f t="shared" si="6"/>
        <v>0</v>
      </c>
      <c r="E34" s="65" t="str">
        <f>'Simulado Final 2'!$D34/'Simulado Final 2'!$C34</f>
        <v>#DIV/0!</v>
      </c>
    </row>
    <row r="35" ht="15.75" customHeight="1">
      <c r="B35" s="64" t="s">
        <v>14</v>
      </c>
      <c r="C35" s="64">
        <f t="shared" ref="C35:D35" si="7">SUM(C11,H11,M11,R11,W11,AB11,AG11)</f>
        <v>0</v>
      </c>
      <c r="D35" s="64">
        <f t="shared" si="7"/>
        <v>0</v>
      </c>
      <c r="E35" s="65" t="str">
        <f>'Simulado Final 2'!$D35/'Simulado Final 2'!$C35</f>
        <v>#DIV/0!</v>
      </c>
    </row>
    <row r="36" ht="15.75" customHeight="1">
      <c r="B36" s="64" t="s">
        <v>15</v>
      </c>
      <c r="C36" s="64">
        <f t="shared" ref="C36:D36" si="8">SUM(C12,H12,M12,R12,W12,AB12,AG12)</f>
        <v>0</v>
      </c>
      <c r="D36" s="64">
        <f t="shared" si="8"/>
        <v>0</v>
      </c>
      <c r="E36" s="65" t="str">
        <f>'Simulado Final 2'!$D36/'Simulado Final 2'!$C36</f>
        <v>#DIV/0!</v>
      </c>
    </row>
    <row r="37" ht="15.75" customHeight="1">
      <c r="B37" s="64" t="s">
        <v>16</v>
      </c>
      <c r="C37" s="64">
        <f t="shared" ref="C37:D37" si="9">SUM(C13,H13,M13,R13,W13,AB13,AG13)</f>
        <v>0</v>
      </c>
      <c r="D37" s="64">
        <f t="shared" si="9"/>
        <v>0</v>
      </c>
      <c r="E37" s="65" t="str">
        <f>'Simulado Final 2'!$D37/'Simulado Final 2'!$C37</f>
        <v>#DIV/0!</v>
      </c>
    </row>
    <row r="38" ht="15.75" customHeight="1">
      <c r="B38" s="64" t="s">
        <v>17</v>
      </c>
      <c r="C38" s="64">
        <f t="shared" ref="C38:D38" si="10">SUM(C14,H14,M14,R14,W14,AB14,AG14)</f>
        <v>0</v>
      </c>
      <c r="D38" s="64">
        <f t="shared" si="10"/>
        <v>0</v>
      </c>
      <c r="E38" s="65" t="str">
        <f>'Simulado Final 2'!$D38/'Simulado Final 2'!$C38</f>
        <v>#DIV/0!</v>
      </c>
    </row>
    <row r="39" ht="15.75" customHeight="1">
      <c r="B39" s="64" t="s">
        <v>18</v>
      </c>
      <c r="C39" s="64">
        <f t="shared" ref="C39:D39" si="11">SUM(C15,H15,M15,R15,W15,AB15,AG15)</f>
        <v>0</v>
      </c>
      <c r="D39" s="64">
        <f t="shared" si="11"/>
        <v>0</v>
      </c>
      <c r="E39" s="65" t="str">
        <f>'Simulado Final 2'!$D39/'Simulado Final 2'!$C39</f>
        <v>#DIV/0!</v>
      </c>
    </row>
    <row r="40" ht="15.75" customHeight="1">
      <c r="B40" s="64" t="s">
        <v>19</v>
      </c>
      <c r="C40" s="64">
        <f t="shared" ref="C40:D40" si="12">SUM(C16,H16,M16,R16,W16,AB16,AG16)</f>
        <v>0</v>
      </c>
      <c r="D40" s="64">
        <f t="shared" si="12"/>
        <v>0</v>
      </c>
      <c r="E40" s="65" t="str">
        <f>'Simulado Final 2'!$D40/'Simulado Final 2'!$C40</f>
        <v>#DIV/0!</v>
      </c>
    </row>
    <row r="41" ht="15.75" customHeight="1">
      <c r="B41" s="64" t="s">
        <v>20</v>
      </c>
      <c r="C41" s="64">
        <f t="shared" ref="C41:D41" si="13">SUM(C17,H17,M17,R17,W17,AB17,AG17)</f>
        <v>0</v>
      </c>
      <c r="D41" s="64">
        <f t="shared" si="13"/>
        <v>0</v>
      </c>
      <c r="E41" s="65" t="str">
        <f>'Simulado Final 2'!$D41/'Simulado Final 2'!$C41</f>
        <v>#DIV/0!</v>
      </c>
    </row>
    <row r="42" ht="15.75" customHeight="1">
      <c r="B42" s="64" t="s">
        <v>21</v>
      </c>
      <c r="C42" s="64">
        <f t="shared" ref="C42:D42" si="14">SUM(C18,H18,M18,R18,W18,AB18,AG18)</f>
        <v>0</v>
      </c>
      <c r="D42" s="64">
        <f t="shared" si="14"/>
        <v>0</v>
      </c>
      <c r="E42" s="65" t="str">
        <f>'Simulado Final 2'!$D42/'Simulado Final 2'!$C42</f>
        <v>#DIV/0!</v>
      </c>
    </row>
    <row r="43" ht="15.75" customHeight="1">
      <c r="B43" s="64" t="s">
        <v>22</v>
      </c>
      <c r="C43" s="64">
        <f t="shared" ref="C43:D43" si="15">SUM(C19,H19,M19,R19,W19,AB19,AG19)</f>
        <v>0</v>
      </c>
      <c r="D43" s="64">
        <f t="shared" si="15"/>
        <v>0</v>
      </c>
      <c r="E43" s="65" t="str">
        <f>'Simulado Final 2'!$D43/'Simulado Final 2'!$C43</f>
        <v>#DIV/0!</v>
      </c>
    </row>
    <row r="44" ht="15.75" customHeight="1">
      <c r="B44" s="64" t="s">
        <v>23</v>
      </c>
      <c r="C44" s="64">
        <f t="shared" ref="C44:D44" si="16">SUM(C20,H20,M20,R20,W20,AB20,AG20)</f>
        <v>0</v>
      </c>
      <c r="D44" s="64">
        <f t="shared" si="16"/>
        <v>0</v>
      </c>
      <c r="E44" s="65" t="str">
        <f>'Simulado Final 2'!$D44/'Simulado Final 2'!$C44</f>
        <v>#DIV/0!</v>
      </c>
    </row>
    <row r="45" ht="15.75" customHeight="1">
      <c r="B45" s="64" t="s">
        <v>24</v>
      </c>
      <c r="C45" s="64">
        <f t="shared" ref="C45:D45" si="17">SUM(C21,H21,M21,R21,W21,AB21,AG21)</f>
        <v>0</v>
      </c>
      <c r="D45" s="64">
        <f t="shared" si="17"/>
        <v>0</v>
      </c>
      <c r="E45" s="65" t="str">
        <f>'Simulado Final 2'!$D45/'Simulado Final 2'!$C45</f>
        <v>#DIV/0!</v>
      </c>
    </row>
    <row r="46" ht="15.75" customHeight="1">
      <c r="B46" s="64" t="s">
        <v>25</v>
      </c>
      <c r="C46" s="64">
        <f t="shared" ref="C46:D46" si="18">SUM(C22,H22,M22,R22,W22,AB22,AG22)</f>
        <v>0</v>
      </c>
      <c r="D46" s="64">
        <f t="shared" si="18"/>
        <v>0</v>
      </c>
      <c r="E46" s="65" t="str">
        <f>'Simulado Final 2'!$D46/'Simulado Final 2'!$C46</f>
        <v>#DIV/0!</v>
      </c>
    </row>
    <row r="47" ht="15.75" customHeight="1">
      <c r="B47" s="64" t="s">
        <v>26</v>
      </c>
      <c r="C47" s="64">
        <f t="shared" ref="C47:D47" si="19">SUM(C23,H23,M23,R23,W23,AB23,AG23)</f>
        <v>0</v>
      </c>
      <c r="D47" s="64">
        <f t="shared" si="19"/>
        <v>0</v>
      </c>
      <c r="E47" s="65" t="str">
        <f>'Simulado Final 2'!$D47/'Simulado Final 2'!$C47</f>
        <v>#DIV/0!</v>
      </c>
    </row>
    <row r="48" ht="15.75" customHeight="1">
      <c r="B48" s="64" t="s">
        <v>27</v>
      </c>
      <c r="C48" s="64">
        <f t="shared" ref="C48:D48" si="20">SUM(C24,H24,M24,R24,W24,AB24,AG24)</f>
        <v>0</v>
      </c>
      <c r="D48" s="64">
        <f t="shared" si="20"/>
        <v>0</v>
      </c>
      <c r="E48" s="65" t="str">
        <f>'Simulado Final 2'!$D48/'Simulado Final 2'!$C48</f>
        <v>#DIV/0!</v>
      </c>
    </row>
    <row r="49" ht="15.75" customHeight="1">
      <c r="B49" s="64" t="s">
        <v>28</v>
      </c>
      <c r="C49" s="64">
        <f t="shared" ref="C49:D49" si="21">SUM(C29:C48)</f>
        <v>0</v>
      </c>
      <c r="D49" s="64">
        <f t="shared" si="21"/>
        <v>0</v>
      </c>
      <c r="E49" s="65" t="str">
        <f>'Simulado Final 2'!$D49/'Simulado Final 2'!$C49</f>
        <v>#DIV/0!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6:E26"/>
    <mergeCell ref="B27:E27"/>
    <mergeCell ref="B3:E3"/>
    <mergeCell ref="G3:J3"/>
    <mergeCell ref="L3:O3"/>
    <mergeCell ref="Q3:T3"/>
    <mergeCell ref="V3:Y3"/>
    <mergeCell ref="AA3:AD3"/>
    <mergeCell ref="AF3:AI3"/>
  </mergeCells>
  <printOptions/>
  <pageMargins bottom="0.787401575" footer="0.0" header="0.0" left="0.511811024" right="0.511811024" top="0.7874015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